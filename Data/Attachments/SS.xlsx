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rael/Documents/ETA/"/>
    </mc:Choice>
  </mc:AlternateContent>
  <xr:revisionPtr revIDLastSave="0" documentId="8_{9CB871A9-93DF-7D48-8F9E-7DE27C1EAE14}" xr6:coauthVersionLast="47" xr6:coauthVersionMax="47" xr10:uidLastSave="{00000000-0000-0000-0000-000000000000}"/>
  <bookViews>
    <workbookView xWindow="20740" yWindow="6040" windowWidth="27700" windowHeight="16580" xr2:uid="{816B8A0A-7C30-6B43-9FBB-38E98A53516C}"/>
  </bookViews>
  <sheets>
    <sheet name="SS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SS!$A$1:$H$39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SS!$A$1:$H$39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</calcChain>
</file>

<file path=xl/sharedStrings.xml><?xml version="1.0" encoding="utf-8"?>
<sst xmlns="http://schemas.openxmlformats.org/spreadsheetml/2006/main" count="64" uniqueCount="60">
  <si>
    <t>▧ 문서번호</t>
    <phoneticPr fontId="3" type="noConversion"/>
  </si>
  <si>
    <t>▧ 분석방법</t>
  </si>
  <si>
    <t>ES 04303.1b 부유물질</t>
    <phoneticPr fontId="3" type="noConversion"/>
  </si>
  <si>
    <t>▧ 결과표시</t>
  </si>
  <si>
    <t>부유물질(㎎/L) = (후무게-전무게) ˟ 1000/시료량(mL)</t>
    <phoneticPr fontId="3" type="noConversion"/>
  </si>
  <si>
    <t>▧ 관련근거</t>
  </si>
  <si>
    <t>1. 공공폐수처리시설 설치 및 운영관리지침(8차개정) "공공폐수처리시설의 수질검사" 항</t>
  </si>
  <si>
    <t>2. 국가폐수공공처리시설(서부권역) 개량 민간투자사업 운영계획서(20년안) - 수질분석계획</t>
  </si>
  <si>
    <t>시료명</t>
  </si>
  <si>
    <t>시료량(mL)</t>
    <phoneticPr fontId="3" type="noConversion"/>
  </si>
  <si>
    <t>전무게(mg)</t>
    <phoneticPr fontId="3" type="noConversion"/>
  </si>
  <si>
    <t>후무게(mg)</t>
    <phoneticPr fontId="3" type="noConversion"/>
  </si>
  <si>
    <t>전후무게차(mg)</t>
    <phoneticPr fontId="3" type="noConversion"/>
  </si>
  <si>
    <t>희석배수</t>
  </si>
  <si>
    <t>결과(mg/L)</t>
    <phoneticPr fontId="3" type="noConversion"/>
  </si>
  <si>
    <t>Remark</t>
    <phoneticPr fontId="3" type="noConversion"/>
  </si>
  <si>
    <t>(주)엘지화학[아크릴레이트2공장]</t>
  </si>
  <si>
    <t>12-17-01</t>
  </si>
  <si>
    <t>해인기업㈜ 여천</t>
  </si>
  <si>
    <t>12-17-02</t>
  </si>
  <si>
    <t>재원산업㈜</t>
  </si>
  <si>
    <t>12-17-03</t>
  </si>
  <si>
    <t>금호티앤엘(주)</t>
  </si>
  <si>
    <t>12-17-04</t>
  </si>
  <si>
    <t>(주)엘지화학[CA/EDC공장]</t>
  </si>
  <si>
    <t>12-17-05</t>
  </si>
  <si>
    <t>(주)엘지화학[엔씨씨옥소알콜-엔씨씨]</t>
  </si>
  <si>
    <t>12-17-06</t>
  </si>
  <si>
    <t xml:space="preserve">여천NCC(주)1공장-환경안전팀 </t>
  </si>
  <si>
    <t>12-17-07</t>
  </si>
  <si>
    <t>한화솔루션(주)여수[1공장]</t>
  </si>
  <si>
    <t>12-17-08</t>
  </si>
  <si>
    <t>금호폴리켐(주)여수1공장</t>
  </si>
  <si>
    <t>12-17-09</t>
  </si>
  <si>
    <t>금호피앤비화학㈜</t>
  </si>
  <si>
    <t>1000</t>
  </si>
  <si>
    <t>88.5</t>
  </si>
  <si>
    <t>105.5</t>
  </si>
  <si>
    <t>1</t>
  </si>
  <si>
    <t>12-17-10</t>
  </si>
  <si>
    <t>금호미쓰이화학㈜</t>
  </si>
  <si>
    <t>250</t>
  </si>
  <si>
    <t>89.5</t>
  </si>
  <si>
    <t>98</t>
  </si>
  <si>
    <t>12-17-11</t>
  </si>
  <si>
    <t>금호석유화학(주)[1공장]</t>
  </si>
  <si>
    <t>200</t>
  </si>
  <si>
    <t>88.2</t>
  </si>
  <si>
    <t>12-17-12</t>
  </si>
  <si>
    <t>한국바스프㈜</t>
  </si>
  <si>
    <t>50</t>
  </si>
  <si>
    <t>88.6</t>
  </si>
  <si>
    <t>89.6</t>
  </si>
  <si>
    <t>12-17-13</t>
  </si>
  <si>
    <t>SS - 분석담당자</t>
    <phoneticPr fontId="3" type="noConversion"/>
  </si>
  <si>
    <t>기술책임자</t>
    <phoneticPr fontId="3" type="noConversion"/>
  </si>
  <si>
    <t>기술책임자(부)</t>
    <phoneticPr fontId="3" type="noConversion"/>
  </si>
  <si>
    <t>김가린</t>
    <phoneticPr fontId="3" type="noConversion"/>
  </si>
  <si>
    <t>이예림</t>
    <phoneticPr fontId="3" type="noConversion"/>
  </si>
  <si>
    <t>이현정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</si>
</sst>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SS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0.#0"/>
    <numFmt numFmtId="182" formatCode="00\-00\-00"/>
    <numFmt numFmtId="183" formatCode="0.0"/>
    <numFmt numFmtId="184" formatCode="@\ \ \ \ \ \ \ \ &quot;(서명)&quot;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/>
    <xf numFmtId="178" fontId="7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0" fontId="2" fillId="0" borderId="0" xfId="1" applyFont="1" applyAlignment="1">
      <alignment horizontal="left" vertical="center" indent="1"/>
    </xf>
    <xf numFmtId="0" fontId="2" fillId="0" borderId="1" xfId="2" applyFont="1" applyBorder="1" applyAlignment="1">
      <alignment horizontal="center" vertical="center"/>
    </xf>
    <xf numFmtId="181" fontId="2" fillId="0" borderId="1" xfId="2" applyNumberFormat="1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2" fontId="2" fillId="0" borderId="1" xfId="2" applyNumberFormat="1" applyFont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181" fontId="2" fillId="2" borderId="1" xfId="2" applyNumberFormat="1" applyFont="1" applyFill="1" applyBorder="1" applyAlignment="1">
      <alignment horizontal="center" vertical="center"/>
    </xf>
    <xf numFmtId="2" fontId="2" fillId="2" borderId="1" xfId="2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2" fontId="2" fillId="2" borderId="1" xfId="2" applyNumberFormat="1" applyFont="1" applyFill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2" xfId="3" applyFont="1" applyBorder="1" applyAlignment="1">
      <alignment horizontal="center" vertical="center" wrapText="1"/>
    </xf>
    <xf numFmtId="0" fontId="2" fillId="0" borderId="2" xfId="3" applyFont="1" applyBorder="1"/>
    <xf numFmtId="0" fontId="2" fillId="0" borderId="2" xfId="3" applyFont="1" applyBorder="1" applyAlignment="1">
      <alignment horizontal="center" vertical="center"/>
    </xf>
    <xf numFmtId="184" fontId="2" fillId="0" borderId="0" xfId="0" applyNumberFormat="1" applyFont="1" applyAlignment="1">
      <alignment horizontal="right" vertical="center" indent="1"/>
    </xf>
    <xf numFmtId="0" fontId="8" fillId="0" borderId="0" xfId="0" applyFont="1">
      <alignment vertical="center"/>
    </xf>
  </cellXfs>
  <cellStyles count="4">
    <cellStyle name="표준" xfId="0" builtinId="0"/>
    <cellStyle name="표준 3" xfId="1" xr:uid="{68AE4E33-48C5-0D43-923A-8DABC2228BB8}"/>
    <cellStyle name="표준 4" xfId="2" xr:uid="{ADDA0BB5-AB98-734E-A70B-A05A40260461}"/>
    <cellStyle name="표준 5" xfId="3" xr:uid="{1B4DCA45-93EF-C24B-8248-AF422146F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651251</xdr:colOff>
      <xdr:row>5</xdr:row>
      <xdr:rowOff>83267</xdr:rowOff>
    </xdr:from>
    <xdr:to>
      <xdr:col>7</xdr:col>
      <xdr:colOff>1027306</xdr:colOff>
      <xdr:row>5</xdr:row>
      <xdr:rowOff>430377</xdr:rowOff>
    </xdr:to>
    <xdr:pic macro="[1]!EASY">
      <xdr:nvPicPr>
        <xdr:cNvPr id="2" name="그림 1" hidden="1">
          <a:extLst>
            <a:ext uri="{FF2B5EF4-FFF2-40B4-BE49-F238E27FC236}">
              <a16:creationId xmlns:a16="http://schemas.microsoft.com/office/drawing/2014/main" id="{4EE0D378-7A54-AB47-8EE1-6B9EEC1D8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651" y="1924767"/>
          <a:ext cx="376055" cy="347110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CHUNGHA-&#4352;&#4469;&#4535;&#4352;&#4449;&#4357;&#4469;&#4523;.xlsm" TargetMode="External"/><Relationship Id="rId2" Type="http://schemas.openxmlformats.org/officeDocument/2006/relationships/externalLinkPath" Target="/Users/azrael/Downloads/CHUNGHA-&#4352;&#4469;&#4535;&#4352;&#4449;&#4357;&#4469;&#4523;.xlsm" TargetMode="External"/><Relationship Id="rId1" Type="http://schemas.openxmlformats.org/officeDocument/2006/relationships/externalLinkPath" Target="/Users/azrael/Downloads/CHUNGHA-&#4352;&#4469;&#4535;&#4352;&#4449;&#4357;&#4469;&#45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C(NPOC)"/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EASY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A35E-22A8-6441-8A7D-5D9C02F24A88}">
  <sheetPr codeName="Sheet6">
    <tabColor theme="9" tint="0.39997558519241921"/>
  </sheetPr>
  <dimension ref="A1:H42"/>
  <sheetViews>
    <sheetView tabSelected="1" view="pageBreakPreview" zoomScale="70" zoomScaleNormal="70" zoomScaleSheetLayoutView="70" zoomScalePageLayoutView="40" workbookViewId="0">
      <selection activeCell="B12" sqref="B12"/>
    </sheetView>
  </sheetViews>
  <sheetFormatPr baseColWidth="10" defaultColWidth="18.33203125" defaultRowHeight="24.75" customHeight="1"/>
  <cols>
    <col min="1" max="1" width="30.33203125" style="32" customWidth="1"/>
    <col min="2" max="8" width="16.6640625" style="32" customWidth="1"/>
    <col min="9" max="16384" width="18.33203125" style="32"/>
  </cols>
  <sheetData>
    <row r="1" spans="1:8" s="8" customFormat="1" ht="29.25" customHeight="1">
      <c r="A1" s="1" t="s">
        <v>0</v>
      </c>
      <c r="B1" s="2">
        <v>46009</v>
      </c>
      <c r="C1" s="2"/>
      <c r="D1" s="3"/>
      <c r="E1" s="4">
        <v>50</v>
      </c>
      <c r="F1" s="5">
        <v>2180</v>
      </c>
      <c r="G1" s="6"/>
      <c r="H1" s="7"/>
    </row>
    <row r="2" spans="1:8" s="8" customFormat="1" ht="29.25" customHeight="1">
      <c r="A2" s="1" t="s">
        <v>1</v>
      </c>
      <c r="B2" s="9" t="s">
        <v>2</v>
      </c>
      <c r="C2" s="3"/>
      <c r="D2" s="10">
        <v>1</v>
      </c>
      <c r="E2" s="11"/>
      <c r="F2" s="11"/>
      <c r="G2" s="6"/>
      <c r="H2" s="6"/>
    </row>
    <row r="3" spans="1:8" s="8" customFormat="1" ht="29.25" customHeight="1">
      <c r="A3" s="12" t="s">
        <v>3</v>
      </c>
      <c r="B3" s="9" t="s">
        <v>4</v>
      </c>
      <c r="C3" s="3"/>
      <c r="D3" s="11"/>
      <c r="E3" s="3"/>
      <c r="F3" s="3"/>
      <c r="G3" s="6"/>
      <c r="H3" s="6"/>
    </row>
    <row r="4" spans="1:8" s="8" customFormat="1" ht="29.25" customHeight="1">
      <c r="A4" s="12" t="s">
        <v>5</v>
      </c>
      <c r="B4" s="13" t="s">
        <v>6</v>
      </c>
      <c r="C4" s="13"/>
      <c r="D4" s="13"/>
      <c r="E4" s="13"/>
      <c r="F4" s="13"/>
      <c r="G4" s="13"/>
      <c r="H4" s="6"/>
    </row>
    <row r="5" spans="1:8" s="8" customFormat="1" ht="29.25" customHeight="1">
      <c r="A5" s="12"/>
      <c r="B5" s="13" t="s">
        <v>7</v>
      </c>
      <c r="C5" s="13"/>
      <c r="D5" s="13"/>
      <c r="E5" s="13"/>
      <c r="F5" s="13"/>
      <c r="G5" s="13"/>
      <c r="H5" s="3"/>
    </row>
    <row r="6" spans="1:8" s="8" customFormat="1" ht="46.5" customHeight="1" thickBot="1">
      <c r="A6" s="14"/>
      <c r="B6" s="14"/>
      <c r="C6" s="15"/>
      <c r="D6" s="16"/>
      <c r="E6" s="15"/>
      <c r="F6" s="17"/>
      <c r="G6" s="18"/>
      <c r="H6" s="14"/>
    </row>
    <row r="7" spans="1:8" s="8" customFormat="1" ht="29.25" customHeight="1" thickTop="1" thickBot="1">
      <c r="A7" s="19" t="s">
        <v>8</v>
      </c>
      <c r="B7" s="20" t="s">
        <v>9</v>
      </c>
      <c r="C7" s="21" t="s">
        <v>10</v>
      </c>
      <c r="D7" s="20" t="s">
        <v>11</v>
      </c>
      <c r="E7" s="22" t="s">
        <v>12</v>
      </c>
      <c r="F7" s="22" t="s">
        <v>13</v>
      </c>
      <c r="G7" s="23" t="s">
        <v>14</v>
      </c>
      <c r="H7" s="19" t="s">
        <v>15</v>
      </c>
    </row>
    <row r="8" spans="1:8" s="8" customFormat="1" ht="29.25" customHeight="1" thickTop="1">
      <c r="A8" s="24" t="s">
        <v>16</v>
      </c>
      <c r="B8" s="25">
        <v>1000</v>
      </c>
      <c r="C8" s="26">
        <v>90.1</v>
      </c>
      <c r="D8" s="26">
        <v>90.9</v>
      </c>
      <c r="E8" s="26">
        <f>IF($A8:$A$37&lt;&gt;"",$D$8:$D$37-$C$8:$C$37,"")</f>
        <v>0.80000000000001137</v>
      </c>
      <c r="F8" s="25">
        <v>1</v>
      </c>
      <c r="G8" s="26">
        <f t="shared" ref="G8:G37" si="0">IF($A$8:$A$37&lt;&gt;"",ROUND(($D$8:$D$37-$C$8:$C$37)*1000/$B$8:$B$37*$F$8:$F$37,1),"")</f>
        <v>0.8</v>
      </c>
      <c r="H8" s="27" t="s">
        <v>17</v>
      </c>
    </row>
    <row r="9" spans="1:8" s="8" customFormat="1" ht="29.25" customHeight="1">
      <c r="A9" s="24" t="s">
        <v>18</v>
      </c>
      <c r="B9" s="25">
        <v>500</v>
      </c>
      <c r="C9" s="26">
        <v>88.9</v>
      </c>
      <c r="D9" s="26">
        <v>90.3</v>
      </c>
      <c r="E9" s="26">
        <f>IF($A9:$A$37&lt;&gt;"",$D$8:$D$37-$C$8:$C$37,"")</f>
        <v>1.3999999999999915</v>
      </c>
      <c r="F9" s="25">
        <v>1</v>
      </c>
      <c r="G9" s="26">
        <f t="shared" si="0"/>
        <v>2.8</v>
      </c>
      <c r="H9" s="27" t="s">
        <v>19</v>
      </c>
    </row>
    <row r="10" spans="1:8" s="8" customFormat="1" ht="29.25" customHeight="1">
      <c r="A10" s="24" t="s">
        <v>20</v>
      </c>
      <c r="B10" s="25">
        <v>200</v>
      </c>
      <c r="C10" s="26">
        <v>89.5</v>
      </c>
      <c r="D10" s="26">
        <v>90.9</v>
      </c>
      <c r="E10" s="26">
        <f>IF($A10:$A$37&lt;&gt;"",$D$8:$D$37-$C$8:$C$37,"")</f>
        <v>1.4000000000000057</v>
      </c>
      <c r="F10" s="25">
        <v>1</v>
      </c>
      <c r="G10" s="26">
        <f t="shared" si="0"/>
        <v>7</v>
      </c>
      <c r="H10" s="27" t="s">
        <v>21</v>
      </c>
    </row>
    <row r="11" spans="1:8" s="8" customFormat="1" ht="29.25" customHeight="1">
      <c r="A11" s="24" t="s">
        <v>22</v>
      </c>
      <c r="B11" s="25">
        <v>100</v>
      </c>
      <c r="C11" s="26">
        <v>90.8</v>
      </c>
      <c r="D11" s="26">
        <v>92.6</v>
      </c>
      <c r="E11" s="26">
        <f>IF($A11:$A$37&lt;&gt;"",$D$8:$D$37-$C$8:$C$37,"")</f>
        <v>1.7999999999999972</v>
      </c>
      <c r="F11" s="25">
        <v>1</v>
      </c>
      <c r="G11" s="26">
        <f t="shared" si="0"/>
        <v>18</v>
      </c>
      <c r="H11" s="27" t="s">
        <v>23</v>
      </c>
    </row>
    <row r="12" spans="1:8" s="8" customFormat="1" ht="29.25" customHeight="1">
      <c r="A12" s="24" t="s">
        <v>24</v>
      </c>
      <c r="B12" s="25">
        <v>100</v>
      </c>
      <c r="C12" s="26">
        <v>90.3</v>
      </c>
      <c r="D12" s="26">
        <v>91.7</v>
      </c>
      <c r="E12" s="26">
        <f>IF($A12:$A$37&lt;&gt;"",$D$8:$D$37-$C$8:$C$37,"")</f>
        <v>1.4000000000000057</v>
      </c>
      <c r="F12" s="25">
        <v>1</v>
      </c>
      <c r="G12" s="26">
        <f t="shared" si="0"/>
        <v>14</v>
      </c>
      <c r="H12" s="27" t="s">
        <v>25</v>
      </c>
    </row>
    <row r="13" spans="1:8" s="8" customFormat="1" ht="29.25" customHeight="1">
      <c r="A13" s="24" t="s">
        <v>26</v>
      </c>
      <c r="B13" s="25">
        <v>25</v>
      </c>
      <c r="C13" s="26">
        <v>88.2</v>
      </c>
      <c r="D13" s="26">
        <v>90.2</v>
      </c>
      <c r="E13" s="26">
        <f>IF($A13:$A$37&lt;&gt;"",$D$8:$D$37-$C$8:$C$37,"")</f>
        <v>2</v>
      </c>
      <c r="F13" s="25">
        <v>1</v>
      </c>
      <c r="G13" s="26">
        <f t="shared" si="0"/>
        <v>80</v>
      </c>
      <c r="H13" s="27" t="s">
        <v>27</v>
      </c>
    </row>
    <row r="14" spans="1:8" s="8" customFormat="1" ht="29.25" customHeight="1">
      <c r="A14" s="24" t="s">
        <v>28</v>
      </c>
      <c r="B14" s="25">
        <v>200</v>
      </c>
      <c r="C14" s="26">
        <v>90.5</v>
      </c>
      <c r="D14" s="26">
        <v>92.3</v>
      </c>
      <c r="E14" s="26">
        <f>IF($A14:$A$37&lt;&gt;"",$D$8:$D$37-$C$8:$C$37,"")</f>
        <v>1.7999999999999972</v>
      </c>
      <c r="F14" s="25">
        <v>1</v>
      </c>
      <c r="G14" s="26">
        <f t="shared" si="0"/>
        <v>9</v>
      </c>
      <c r="H14" s="27" t="s">
        <v>29</v>
      </c>
    </row>
    <row r="15" spans="1:8" s="8" customFormat="1" ht="29.25" customHeight="1">
      <c r="A15" s="24" t="s">
        <v>30</v>
      </c>
      <c r="B15" s="25">
        <v>200</v>
      </c>
      <c r="C15" s="26">
        <v>90.2</v>
      </c>
      <c r="D15" s="26">
        <v>94.7</v>
      </c>
      <c r="E15" s="26">
        <f>IF($A15:$A$37&lt;&gt;"",$D$8:$D$37-$C$8:$C$37,"")</f>
        <v>4.5</v>
      </c>
      <c r="F15" s="25">
        <v>1</v>
      </c>
      <c r="G15" s="26">
        <f t="shared" si="0"/>
        <v>22.5</v>
      </c>
      <c r="H15" s="27" t="s">
        <v>31</v>
      </c>
    </row>
    <row r="16" spans="1:8" s="8" customFormat="1" ht="29.25" customHeight="1">
      <c r="A16" s="24" t="s">
        <v>32</v>
      </c>
      <c r="B16" s="25">
        <v>250</v>
      </c>
      <c r="C16" s="26">
        <v>88.3</v>
      </c>
      <c r="D16" s="26">
        <v>89.3</v>
      </c>
      <c r="E16" s="26">
        <f>IF($A16:$A$37&lt;&gt;"",$D$8:$D$37-$C$8:$C$37,"")</f>
        <v>1</v>
      </c>
      <c r="F16" s="25">
        <v>1</v>
      </c>
      <c r="G16" s="26">
        <f t="shared" si="0"/>
        <v>4</v>
      </c>
      <c r="H16" s="27" t="s">
        <v>33</v>
      </c>
    </row>
    <row r="17" spans="1:8" s="8" customFormat="1" ht="29.25" customHeight="1">
      <c r="A17" s="24" t="s">
        <v>34</v>
      </c>
      <c r="B17" s="25" t="s">
        <v>35</v>
      </c>
      <c r="C17" s="26" t="s">
        <v>36</v>
      </c>
      <c r="D17" s="26" t="s">
        <v>37</v>
      </c>
      <c r="E17" s="26">
        <f>IF($A17:$A$37&lt;&gt;"",$D$8:$D$37-$C$8:$C$37,"")</f>
        <v>17</v>
      </c>
      <c r="F17" s="25" t="s">
        <v>38</v>
      </c>
      <c r="G17" s="26">
        <f t="shared" si="0"/>
        <v>17</v>
      </c>
      <c r="H17" s="27" t="s">
        <v>39</v>
      </c>
    </row>
    <row r="18" spans="1:8" s="8" customFormat="1" ht="29.25" customHeight="1">
      <c r="A18" s="24" t="s">
        <v>40</v>
      </c>
      <c r="B18" s="25" t="s">
        <v>41</v>
      </c>
      <c r="C18" s="26" t="s">
        <v>42</v>
      </c>
      <c r="D18" s="26" t="s">
        <v>43</v>
      </c>
      <c r="E18" s="26">
        <f>IF($A18:$A$37&lt;&gt;"",$D$8:$D$37-$C$8:$C$37,"")</f>
        <v>8.5</v>
      </c>
      <c r="F18" s="25" t="s">
        <v>38</v>
      </c>
      <c r="G18" s="26">
        <f t="shared" si="0"/>
        <v>34</v>
      </c>
      <c r="H18" s="27" t="s">
        <v>44</v>
      </c>
    </row>
    <row r="19" spans="1:8" s="8" customFormat="1" ht="29.25" customHeight="1">
      <c r="A19" s="24" t="s">
        <v>45</v>
      </c>
      <c r="B19" s="25" t="s">
        <v>46</v>
      </c>
      <c r="C19" s="26" t="s">
        <v>47</v>
      </c>
      <c r="D19" s="26" t="s">
        <v>42</v>
      </c>
      <c r="E19" s="26">
        <f>IF($A19:$A$37&lt;&gt;"",$D$8:$D$37-$C$8:$C$37,"")</f>
        <v>1.2999999999999972</v>
      </c>
      <c r="F19" s="25" t="s">
        <v>38</v>
      </c>
      <c r="G19" s="26">
        <f t="shared" si="0"/>
        <v>6.5</v>
      </c>
      <c r="H19" s="27" t="s">
        <v>48</v>
      </c>
    </row>
    <row r="20" spans="1:8" s="8" customFormat="1" ht="29.25" customHeight="1">
      <c r="A20" s="24" t="s">
        <v>49</v>
      </c>
      <c r="B20" s="25" t="s">
        <v>50</v>
      </c>
      <c r="C20" s="26" t="s">
        <v>51</v>
      </c>
      <c r="D20" s="26" t="s">
        <v>52</v>
      </c>
      <c r="E20" s="26">
        <f>IF($A20:$A$37&lt;&gt;"",$D$8:$D$37-$C$8:$C$37,"")</f>
        <v>1</v>
      </c>
      <c r="F20" s="25" t="s">
        <v>38</v>
      </c>
      <c r="G20" s="26">
        <f t="shared" si="0"/>
        <v>20</v>
      </c>
      <c r="H20" s="27" t="s">
        <v>53</v>
      </c>
    </row>
    <row r="21" spans="1:8" s="8" customFormat="1" ht="29.25" customHeight="1">
      <c r="A21" s="24"/>
      <c r="B21" s="25"/>
      <c r="C21" s="26"/>
      <c r="D21" s="26"/>
      <c r="E21" s="26" t="str">
        <f>IF($A21:$A$37&lt;&gt;"",$D$8:$D$37-$C$8:$C$37,"")</f>
        <v/>
      </c>
      <c r="F21" s="25"/>
      <c r="G21" s="26" t="str">
        <f t="shared" si="0"/>
        <v/>
      </c>
      <c r="H21" s="27"/>
    </row>
    <row r="22" spans="1:8" s="8" customFormat="1" ht="29.25" customHeight="1">
      <c r="A22" s="24"/>
      <c r="B22" s="25"/>
      <c r="C22" s="26"/>
      <c r="D22" s="26"/>
      <c r="E22" s="26" t="str">
        <f>IF($A22:$A$37&lt;&gt;"",$D$8:$D$37-$C$8:$C$37,"")</f>
        <v/>
      </c>
      <c r="F22" s="25"/>
      <c r="G22" s="26" t="str">
        <f t="shared" si="0"/>
        <v/>
      </c>
      <c r="H22" s="27"/>
    </row>
    <row r="23" spans="1:8" s="8" customFormat="1" ht="29.25" customHeight="1">
      <c r="A23" s="24"/>
      <c r="B23" s="25"/>
      <c r="C23" s="26"/>
      <c r="D23" s="26"/>
      <c r="E23" s="26" t="str">
        <f>IF($A23:$A$37&lt;&gt;"",$D$8:$D$37-$C$8:$C$37,"")</f>
        <v/>
      </c>
      <c r="F23" s="25"/>
      <c r="G23" s="26" t="str">
        <f t="shared" si="0"/>
        <v/>
      </c>
      <c r="H23" s="27"/>
    </row>
    <row r="24" spans="1:8" s="8" customFormat="1" ht="29.25" customHeight="1">
      <c r="A24" s="24"/>
      <c r="B24" s="25"/>
      <c r="C24" s="26"/>
      <c r="D24" s="26"/>
      <c r="E24" s="26" t="str">
        <f>IF($A24:$A$37&lt;&gt;"",$D$8:$D$37-$C$8:$C$37,"")</f>
        <v/>
      </c>
      <c r="F24" s="25"/>
      <c r="G24" s="26" t="str">
        <f t="shared" si="0"/>
        <v/>
      </c>
      <c r="H24" s="27"/>
    </row>
    <row r="25" spans="1:8" s="8" customFormat="1" ht="29.25" customHeight="1">
      <c r="A25" s="24"/>
      <c r="B25" s="25"/>
      <c r="C25" s="26"/>
      <c r="D25" s="26"/>
      <c r="E25" s="26" t="str">
        <f>IF($A25:$A$37&lt;&gt;"",$D$8:$D$37-$C$8:$C$37,"")</f>
        <v/>
      </c>
      <c r="F25" s="25"/>
      <c r="G25" s="26" t="str">
        <f t="shared" si="0"/>
        <v/>
      </c>
      <c r="H25" s="27"/>
    </row>
    <row r="26" spans="1:8" s="8" customFormat="1" ht="29.25" customHeight="1">
      <c r="A26" s="24"/>
      <c r="B26" s="25"/>
      <c r="C26" s="26"/>
      <c r="D26" s="26"/>
      <c r="E26" s="26" t="str">
        <f>IF($A26:$A$37&lt;&gt;"",$D$8:$D$37-$C$8:$C$37,"")</f>
        <v/>
      </c>
      <c r="F26" s="25"/>
      <c r="G26" s="26" t="str">
        <f t="shared" si="0"/>
        <v/>
      </c>
      <c r="H26" s="27"/>
    </row>
    <row r="27" spans="1:8" s="8" customFormat="1" ht="29.25" customHeight="1">
      <c r="A27" s="24"/>
      <c r="B27" s="25"/>
      <c r="C27" s="26"/>
      <c r="D27" s="26"/>
      <c r="E27" s="26" t="str">
        <f>IF($A27:$A$37&lt;&gt;"",$D$8:$D$37-$C$8:$C$37,"")</f>
        <v/>
      </c>
      <c r="F27" s="25"/>
      <c r="G27" s="26" t="str">
        <f t="shared" si="0"/>
        <v/>
      </c>
      <c r="H27" s="27"/>
    </row>
    <row r="28" spans="1:8" s="8" customFormat="1" ht="29.25" customHeight="1">
      <c r="A28" s="24"/>
      <c r="B28" s="25"/>
      <c r="C28" s="26"/>
      <c r="D28" s="26"/>
      <c r="E28" s="26" t="str">
        <f>IF($A28:$A$37&lt;&gt;"",$D$8:$D$37-$C$8:$C$37,"")</f>
        <v/>
      </c>
      <c r="F28" s="25"/>
      <c r="G28" s="26" t="str">
        <f t="shared" si="0"/>
        <v/>
      </c>
      <c r="H28" s="27"/>
    </row>
    <row r="29" spans="1:8" s="8" customFormat="1" ht="29.25" customHeight="1">
      <c r="A29" s="24"/>
      <c r="B29" s="25"/>
      <c r="C29" s="26"/>
      <c r="D29" s="26"/>
      <c r="E29" s="26" t="str">
        <f>IF($A29:$A$37&lt;&gt;"",$D$8:$D$37-$C$8:$C$37,"")</f>
        <v/>
      </c>
      <c r="F29" s="25"/>
      <c r="G29" s="26" t="str">
        <f t="shared" si="0"/>
        <v/>
      </c>
      <c r="H29" s="25"/>
    </row>
    <row r="30" spans="1:8" s="8" customFormat="1" ht="29.25" customHeight="1">
      <c r="A30" s="24"/>
      <c r="B30" s="25"/>
      <c r="C30" s="26"/>
      <c r="D30" s="26"/>
      <c r="E30" s="26" t="str">
        <f>IF($A30:$A$37&lt;&gt;"",$D$8:$D$37-$C$8:$C$37,"")</f>
        <v/>
      </c>
      <c r="F30" s="25"/>
      <c r="G30" s="26" t="str">
        <f t="shared" si="0"/>
        <v/>
      </c>
      <c r="H30" s="25"/>
    </row>
    <row r="31" spans="1:8" s="8" customFormat="1" ht="29.25" customHeight="1">
      <c r="A31" s="24"/>
      <c r="B31" s="25"/>
      <c r="C31" s="26"/>
      <c r="D31" s="26"/>
      <c r="E31" s="26" t="str">
        <f>IF($A31:$A$37&lt;&gt;"",$D$8:$D$37-$C$8:$C$37,"")</f>
        <v/>
      </c>
      <c r="F31" s="25"/>
      <c r="G31" s="26" t="str">
        <f t="shared" si="0"/>
        <v/>
      </c>
      <c r="H31" s="25"/>
    </row>
    <row r="32" spans="1:8" s="8" customFormat="1" ht="29.25" customHeight="1">
      <c r="A32" s="24"/>
      <c r="B32" s="25"/>
      <c r="C32" s="26"/>
      <c r="D32" s="26"/>
      <c r="E32" s="26" t="str">
        <f>IF($A32:$A$37&lt;&gt;"",$D$8:$D$37-$C$8:$C$37,"")</f>
        <v/>
      </c>
      <c r="F32" s="25"/>
      <c r="G32" s="26" t="str">
        <f t="shared" si="0"/>
        <v/>
      </c>
      <c r="H32" s="25"/>
    </row>
    <row r="33" spans="1:8" s="8" customFormat="1" ht="29.25" customHeight="1">
      <c r="A33" s="24"/>
      <c r="B33" s="25"/>
      <c r="C33" s="26"/>
      <c r="D33" s="26"/>
      <c r="E33" s="26" t="str">
        <f>IF($A33:$A$37&lt;&gt;"",$D$8:$D$37-$C$8:$C$37,"")</f>
        <v/>
      </c>
      <c r="F33" s="25"/>
      <c r="G33" s="26" t="str">
        <f t="shared" si="0"/>
        <v/>
      </c>
      <c r="H33" s="25"/>
    </row>
    <row r="34" spans="1:8" s="8" customFormat="1" ht="29.25" customHeight="1">
      <c r="A34" s="24"/>
      <c r="B34" s="25"/>
      <c r="C34" s="26"/>
      <c r="D34" s="26"/>
      <c r="E34" s="26" t="str">
        <f>IF($A34:$A$37&lt;&gt;"",$D$8:$D$37-$C$8:$C$37,"")</f>
        <v/>
      </c>
      <c r="F34" s="25"/>
      <c r="G34" s="26" t="str">
        <f t="shared" si="0"/>
        <v/>
      </c>
      <c r="H34" s="25"/>
    </row>
    <row r="35" spans="1:8" s="8" customFormat="1" ht="29.25" customHeight="1">
      <c r="A35" s="24"/>
      <c r="B35" s="25"/>
      <c r="C35" s="26"/>
      <c r="D35" s="26"/>
      <c r="E35" s="26" t="str">
        <f>IF($A35:$A$37&lt;&gt;"",$D$8:$D$37-$C$8:$C$37,"")</f>
        <v/>
      </c>
      <c r="F35" s="25"/>
      <c r="G35" s="26" t="str">
        <f t="shared" si="0"/>
        <v/>
      </c>
      <c r="H35" s="25"/>
    </row>
    <row r="36" spans="1:8" s="8" customFormat="1" ht="29.25" customHeight="1">
      <c r="A36" s="24"/>
      <c r="B36" s="25"/>
      <c r="C36" s="26"/>
      <c r="D36" s="26"/>
      <c r="E36" s="26" t="str">
        <f>IF($A36:$A$37&lt;&gt;"",$D$8:$D$37-$C$8:$C$37,"")</f>
        <v/>
      </c>
      <c r="F36" s="25"/>
      <c r="G36" s="26" t="str">
        <f t="shared" si="0"/>
        <v/>
      </c>
      <c r="H36" s="25"/>
    </row>
    <row r="37" spans="1:8" s="8" customFormat="1" ht="29.25" customHeight="1" thickBot="1">
      <c r="A37" s="24"/>
      <c r="B37" s="25"/>
      <c r="C37" s="26"/>
      <c r="D37" s="26"/>
      <c r="E37" s="26" t="str">
        <f>IF($A37:$A$37&lt;&gt;"",$D$8:$D$37-$C$8:$C$37,"")</f>
        <v/>
      </c>
      <c r="F37" s="25"/>
      <c r="G37" s="26" t="str">
        <f t="shared" si="0"/>
        <v/>
      </c>
      <c r="H37" s="25"/>
    </row>
    <row r="38" spans="1:8" s="8" customFormat="1" ht="30" customHeight="1" thickTop="1">
      <c r="A38" s="28"/>
      <c r="B38" s="29"/>
      <c r="C38" s="30"/>
      <c r="D38" s="30"/>
      <c r="E38" s="30" t="s">
        <v>54</v>
      </c>
      <c r="F38" s="30"/>
      <c r="G38" s="30" t="s">
        <v>55</v>
      </c>
      <c r="H38" s="30"/>
    </row>
    <row r="39" spans="1:8" s="8" customFormat="1" ht="30" customHeight="1">
      <c r="C39" s="31"/>
      <c r="D39" s="31"/>
      <c r="E39" s="31" t="s">
        <v>57</v>
      </c>
      <c r="F39" s="31"/>
      <c r="G39" s="31" t="s">
        <v>58</v>
      </c>
      <c r="H39" s="31"/>
    </row>
    <row r="40" spans="1:8" ht="24.75" customHeight="1" thickBot="1"/>
    <row r="41" spans="1:8" ht="24.75" customHeight="1" thickTop="1">
      <c r="G41" s="30" t="s">
        <v>56</v>
      </c>
      <c r="H41" s="30"/>
    </row>
    <row r="42" spans="1:8" ht="24.75" customHeight="1">
      <c r="G42" s="31" t="s">
        <v>59</v>
      </c>
      <c r="H42" s="31"/>
    </row>
  </sheetData>
  <mergeCells count="11">
    <mergeCell ref="G41:H41"/>
    <mergeCell ref="G42:H42"/>
    <mergeCell ref="C39:D39"/>
    <mergeCell ref="E39:F39"/>
    <mergeCell ref="G39:H39"/>
    <mergeCell ref="C38:D38"/>
    <mergeCell ref="E38:F38"/>
    <mergeCell ref="G38:H38"/>
    <mergeCell ref="B1:C1"/>
    <mergeCell ref="B4:G4"/>
    <mergeCell ref="B5:G5"/>
  </mergeCells>
  <phoneticPr fontId="3" type="noConversion"/>
  <pageMargins left="0.6875" right="0.70866141732283472" top="1.7322834645669292" bottom="0.91666666666666663" header="0.78740157480314965" footer="0.59055118110236227"/>
  <pageSetup paperSize="9" scale="54" orientation="portrait" r:id="rId1"/>
  <headerFooter>
    <oddHeader>&amp;L&amp;G&amp;C&amp;"KBIZ한마음고딕 B,굵게"&amp;48&amp;K00-046부유물질 시험기록부</oddHeader>
    <oddFooter>&amp;C&amp;"KBIZ한마음고딕 B,굵게"&amp;48&amp;K00-048리뉴어스주식회사-수질분석센터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SS</vt:lpstr>
      <vt:lpstr>SS!Print_Area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정승욱</dc:creator>
  <cp:lastModifiedBy>정승욱</cp:lastModifiedBy>
  <dcterms:created xsi:type="dcterms:W3CDTF">2026-04-05T03:57:22Z</dcterms:created>
  <dcterms:modified xsi:type="dcterms:W3CDTF">2026-04-05T03:57:59Z</dcterms:modified>
</cp:coreProperties>
</file>