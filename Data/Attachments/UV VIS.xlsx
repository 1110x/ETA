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rael/Downloads/"/>
    </mc:Choice>
  </mc:AlternateContent>
  <xr:revisionPtr revIDLastSave="0" documentId="8_{C8A52B33-9BA3-8948-A65F-430CA527311B}" xr6:coauthVersionLast="47" xr6:coauthVersionMax="47" xr10:uidLastSave="{00000000-0000-0000-0000-000000000000}"/>
  <bookViews>
    <workbookView xWindow="21140" yWindow="6540" windowWidth="27300" windowHeight="16080" xr2:uid="{6A06920C-DBA7-0649-849E-AEAB4C68A35A}"/>
  </bookViews>
  <sheets>
    <sheet name="TN" sheetId="1" r:id="rId1"/>
  </sheets>
  <externalReferences>
    <externalReference r:id="rId2"/>
  </externalReferences>
  <definedNames>
    <definedName name="BOD자료A">#REF!</definedName>
    <definedName name="BOD자료B">#REF!</definedName>
    <definedName name="COD자료A">#REF!</definedName>
    <definedName name="COD자료B">#REF!</definedName>
    <definedName name="NH3자료A">#REF!</definedName>
    <definedName name="NH3자료B">#REF!</definedName>
    <definedName name="NHexan자료A">#REF!</definedName>
    <definedName name="NHexan자료B">#REF!</definedName>
    <definedName name="NO2자료A">#REF!</definedName>
    <definedName name="NO2자료B">#REF!</definedName>
    <definedName name="NO3자료A">#REF!</definedName>
    <definedName name="NO3자료B">#REF!</definedName>
    <definedName name="NPOC자료A">#REF!</definedName>
    <definedName name="NPOC자료B">#REF!</definedName>
    <definedName name="Phenolic자료A">#REF!</definedName>
    <definedName name="Phenolic자료B">#REF!</definedName>
    <definedName name="PO4자료A">#REF!</definedName>
    <definedName name="PO4자료B">#REF!</definedName>
    <definedName name="_xlnm.Print_Area" localSheetId="0">TN!$A$1:$P$39</definedName>
    <definedName name="SS자료A">#REF!</definedName>
    <definedName name="SS자료B">#REF!</definedName>
    <definedName name="TCIC자료A">#REF!</definedName>
    <definedName name="TCIC자료B">#REF!</definedName>
    <definedName name="TN자료A">#REF!</definedName>
    <definedName name="TN자료B">#REF!</definedName>
    <definedName name="TP자료A">#REF!</definedName>
    <definedName name="TP자료B">#REF!</definedName>
    <definedName name="TS자료A">#REF!</definedName>
    <definedName name="TS자료B">#REF!</definedName>
    <definedName name="VS자료A">#REF!</definedName>
    <definedName name="VS자료B">#REF!</definedName>
    <definedName name="Z_2475CC25_82DC_4A5E_985D_16382096585A_.wvu.PrintArea" localSheetId="0" hidden="1">TN!$A$1:$P$39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M37" i="1"/>
  <c r="F37" i="1"/>
  <c r="E37" i="1"/>
  <c r="N36" i="1"/>
  <c r="M36" i="1"/>
  <c r="F36" i="1"/>
  <c r="E36" i="1"/>
  <c r="N35" i="1"/>
  <c r="M35" i="1"/>
  <c r="F35" i="1"/>
  <c r="E35" i="1"/>
  <c r="N34" i="1"/>
  <c r="M34" i="1"/>
  <c r="F34" i="1"/>
  <c r="E34" i="1"/>
  <c r="N33" i="1"/>
  <c r="M33" i="1"/>
  <c r="F33" i="1"/>
  <c r="E33" i="1"/>
  <c r="N32" i="1"/>
  <c r="M32" i="1"/>
  <c r="F32" i="1"/>
  <c r="E32" i="1"/>
  <c r="N31" i="1"/>
  <c r="M31" i="1"/>
  <c r="E31" i="1"/>
  <c r="F31" i="1" s="1"/>
  <c r="N30" i="1"/>
  <c r="M30" i="1"/>
  <c r="E30" i="1"/>
  <c r="F30" i="1" s="1"/>
  <c r="N29" i="1"/>
  <c r="M29" i="1"/>
  <c r="E29" i="1"/>
  <c r="F29" i="1" s="1"/>
  <c r="N28" i="1"/>
  <c r="M28" i="1"/>
  <c r="E28" i="1"/>
  <c r="F28" i="1" s="1"/>
  <c r="N27" i="1"/>
  <c r="M27" i="1"/>
  <c r="E27" i="1"/>
  <c r="F27" i="1" s="1"/>
  <c r="N26" i="1"/>
  <c r="M26" i="1"/>
  <c r="E26" i="1"/>
  <c r="F26" i="1" s="1"/>
  <c r="N25" i="1"/>
  <c r="M25" i="1"/>
  <c r="E25" i="1"/>
  <c r="F25" i="1" s="1"/>
  <c r="N24" i="1"/>
  <c r="M24" i="1"/>
  <c r="E24" i="1"/>
  <c r="F24" i="1" s="1"/>
  <c r="N23" i="1"/>
  <c r="M23" i="1"/>
  <c r="E23" i="1"/>
  <c r="F23" i="1" s="1"/>
  <c r="N22" i="1"/>
  <c r="M22" i="1"/>
  <c r="E22" i="1"/>
  <c r="F22" i="1" s="1"/>
  <c r="N21" i="1"/>
  <c r="M21" i="1"/>
  <c r="E21" i="1"/>
  <c r="F21" i="1" s="1"/>
  <c r="N20" i="1"/>
  <c r="M20" i="1"/>
  <c r="E20" i="1"/>
  <c r="F20" i="1" s="1"/>
  <c r="N19" i="1"/>
  <c r="M19" i="1"/>
  <c r="E19" i="1"/>
  <c r="F19" i="1" s="1"/>
  <c r="N18" i="1"/>
  <c r="M18" i="1"/>
  <c r="E18" i="1"/>
  <c r="F18" i="1" s="1"/>
  <c r="N17" i="1"/>
  <c r="M17" i="1"/>
  <c r="E17" i="1"/>
  <c r="F17" i="1" s="1"/>
  <c r="N16" i="1"/>
  <c r="M16" i="1"/>
  <c r="E16" i="1"/>
  <c r="F16" i="1" s="1"/>
  <c r="N15" i="1"/>
  <c r="M15" i="1"/>
  <c r="E15" i="1"/>
  <c r="F15" i="1" s="1"/>
  <c r="N14" i="1"/>
  <c r="M14" i="1"/>
  <c r="E14" i="1"/>
  <c r="F14" i="1" s="1"/>
  <c r="N13" i="1"/>
  <c r="M13" i="1"/>
  <c r="E13" i="1"/>
  <c r="F13" i="1" s="1"/>
  <c r="N12" i="1"/>
  <c r="M12" i="1"/>
  <c r="E12" i="1"/>
  <c r="F12" i="1" s="1"/>
  <c r="N11" i="1"/>
  <c r="M11" i="1"/>
  <c r="E11" i="1"/>
  <c r="F11" i="1" s="1"/>
  <c r="N10" i="1"/>
  <c r="M10" i="1"/>
  <c r="E10" i="1"/>
  <c r="F10" i="1" s="1"/>
  <c r="N9" i="1"/>
  <c r="M9" i="1"/>
  <c r="E9" i="1"/>
  <c r="F9" i="1" s="1"/>
  <c r="N8" i="1"/>
  <c r="M8" i="1"/>
  <c r="E8" i="1"/>
  <c r="F8" i="1" s="1"/>
  <c r="J1" i="1"/>
</calcChain>
</file>

<file path=xl/sharedStrings.xml><?xml version="1.0" encoding="utf-8"?>
<sst xmlns="http://schemas.openxmlformats.org/spreadsheetml/2006/main" count="129" uniqueCount="90">
  <si>
    <t>▧ 문서번호</t>
    <phoneticPr fontId="3" type="noConversion"/>
  </si>
  <si>
    <t>▧ 분석방법</t>
  </si>
  <si>
    <t>ES 04363.1b 총질소-자외선, 가시선 분광법-산화법</t>
    <phoneticPr fontId="3" type="noConversion"/>
  </si>
  <si>
    <t>ES 04363.1a 총질소-자외선, 가시선 분광법-산화법</t>
    <phoneticPr fontId="3" type="noConversion"/>
  </si>
  <si>
    <t>▧ 결과표시</t>
  </si>
  <si>
    <t>총질소 (㎎/L)=(y-b)/a*(60/50)*I</t>
  </si>
  <si>
    <t>총질소(㎎/L) = [a] 검정곡선의로 부터 구한 질소의 양(mg) ˟ (60÷25)  ˟ (1000÷시료량)</t>
    <phoneticPr fontId="3" type="noConversion"/>
  </si>
  <si>
    <t>▧ 관련근거</t>
  </si>
  <si>
    <t>1. 공공폐수처리시설 설치 및 운영관리지침(8차개정) "공공폐수처리시설의 수질검사" 항</t>
  </si>
  <si>
    <t>STANDARD</t>
    <phoneticPr fontId="3" type="noConversion"/>
  </si>
  <si>
    <t>abs</t>
    <phoneticPr fontId="3" type="noConversion"/>
  </si>
  <si>
    <t>시료명</t>
  </si>
  <si>
    <t>시료량(mL)</t>
    <phoneticPr fontId="3" type="noConversion"/>
  </si>
  <si>
    <t>흡광도</t>
  </si>
  <si>
    <t>희석배수</t>
  </si>
  <si>
    <t>검정곡선 계산농도</t>
    <phoneticPr fontId="3" type="noConversion"/>
  </si>
  <si>
    <t>Result(㎎/L)</t>
  </si>
  <si>
    <t>비고</t>
    <phoneticPr fontId="3" type="noConversion"/>
  </si>
  <si>
    <t>시료번호</t>
    <phoneticPr fontId="3" type="noConversion"/>
  </si>
  <si>
    <t>시료량</t>
  </si>
  <si>
    <t>금호피앤비화학㈜</t>
  </si>
  <si>
    <t>02-10-01</t>
  </si>
  <si>
    <t>한국바스프㈜</t>
  </si>
  <si>
    <t>02-10-03</t>
  </si>
  <si>
    <t>금호미쓰이화학㈜</t>
  </si>
  <si>
    <t>02-10-04</t>
  </si>
  <si>
    <t>(주)엘지화학</t>
  </si>
  <si>
    <t>02-10-05</t>
  </si>
  <si>
    <t>롯데케미칼 주식회사 1공장</t>
  </si>
  <si>
    <t>02-10-07</t>
  </si>
  <si>
    <t>롯데케미칼(주)[첨단소재여수공장]</t>
  </si>
  <si>
    <t>02-10-09</t>
  </si>
  <si>
    <t xml:space="preserve">여천NCC(주)1공장-환경안전팀 </t>
  </si>
  <si>
    <t>02-10-10</t>
  </si>
  <si>
    <t>금호석유화학(주)[1공장]</t>
  </si>
  <si>
    <t>02-10-11</t>
  </si>
  <si>
    <t>여천NCC(주)2공장-환경안전팀</t>
  </si>
  <si>
    <t>02-10-12</t>
  </si>
  <si>
    <t>금호석유화학(주)[2공장]</t>
  </si>
  <si>
    <t>02-11-01</t>
  </si>
  <si>
    <t>(주)롯데지에스화학</t>
  </si>
  <si>
    <t>02-11-02</t>
  </si>
  <si>
    <t>롯데케미칼 주식회사 1공장(확장단지)</t>
  </si>
  <si>
    <t>10</t>
  </si>
  <si>
    <t>0.3732</t>
  </si>
  <si>
    <t>1</t>
  </si>
  <si>
    <t>02-11-03</t>
  </si>
  <si>
    <t>(주)엘지화학[엔씨씨옥소알콜-엔씨씨]</t>
  </si>
  <si>
    <t>0.1656</t>
  </si>
  <si>
    <t>5</t>
  </si>
  <si>
    <t>02-11-04</t>
  </si>
  <si>
    <t>(주)엘지화학[엔씨씨옥소알콜-옥소알콜]</t>
  </si>
  <si>
    <t>0.25</t>
  </si>
  <si>
    <t>02-11-05</t>
  </si>
  <si>
    <t>(주)엘지화학[CA/EDC공장]</t>
  </si>
  <si>
    <t>0.1627</t>
  </si>
  <si>
    <t>02-11-07</t>
  </si>
  <si>
    <t>(주)엘지화학[아크릴레이트2공장]</t>
  </si>
  <si>
    <t>25</t>
  </si>
  <si>
    <t>0.3462</t>
  </si>
  <si>
    <t>02-11-09</t>
  </si>
  <si>
    <t>남해화학㈜ 여수공장</t>
  </si>
  <si>
    <t>0.1744</t>
  </si>
  <si>
    <t>02-11-10</t>
  </si>
  <si>
    <t>티케이지휴켐스(주)</t>
  </si>
  <si>
    <t>0.1514</t>
  </si>
  <si>
    <t>02-11-11</t>
  </si>
  <si>
    <t>지에스칼텍스(주)여수공장</t>
  </si>
  <si>
    <t>0.171</t>
  </si>
  <si>
    <t>02-11-13</t>
  </si>
  <si>
    <t>지에스칼텍스(주)여수공장[NO.3 HOU]</t>
  </si>
  <si>
    <t>0.2953</t>
  </si>
  <si>
    <t>02-11-14</t>
  </si>
  <si>
    <t>지에스칼텍스(주)여수공장[NO.2 HOU]</t>
  </si>
  <si>
    <t>0.2279</t>
  </si>
  <si>
    <t>02-11-15</t>
  </si>
  <si>
    <t>지에스칼텍스㈜MFC</t>
  </si>
  <si>
    <t>0.1889</t>
  </si>
  <si>
    <t>02-11-16</t>
  </si>
  <si>
    <t>롯데엔지니어링플라스틱(주)</t>
  </si>
  <si>
    <t>0.2395</t>
  </si>
  <si>
    <t>[율촌]02-05-21</t>
  </si>
  <si>
    <t>0.1181</t>
  </si>
  <si>
    <t>[율촌]02-09-21</t>
  </si>
  <si>
    <t>TN - 분석담당자</t>
    <phoneticPr fontId="3" type="noConversion"/>
  </si>
  <si>
    <t>기술책임자</t>
    <phoneticPr fontId="3" type="noConversion"/>
  </si>
  <si>
    <t>기술책임자(부)</t>
  </si>
  <si>
    <t xml:space="preserve">김가린 </t>
  </si>
  <si>
    <t>이예림</t>
    <phoneticPr fontId="3" type="noConversion"/>
  </si>
  <si>
    <t>박지혜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</si>
</sst>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&quot;TN&quot;\ yyyy/mm/dd\(aaa\)"/>
    <numFmt numFmtId="177" formatCode="0_);[Red]\(0\)"/>
    <numFmt numFmtId="178" formatCode="\_xd83d_\_xdd10_####"/>
    <numFmt numFmtId="179" formatCode="&quot;조회모드 : &quot;\ 0"/>
    <numFmt numFmtId="180" formatCode="dddd"/>
    <numFmt numFmtId="181" formatCode="&quot;ST-1(mg)_x000a_&quot;0.0000"/>
    <numFmt numFmtId="182" formatCode="&quot;ST-2(mg)_x000a_&quot;0.0000"/>
    <numFmt numFmtId="183" formatCode="&quot;ST-3(mg)_x000a_&quot;0.0000"/>
    <numFmt numFmtId="184" formatCode="&quot;ST-4(mg)_x000a_&quot;0.0000"/>
    <numFmt numFmtId="185" formatCode="&quot;ST-5(mg)_x000a_&quot;0.0000"/>
    <numFmt numFmtId="186" formatCode="&quot;기울기_x000a_&quot;General&quot; (a)&quot;"/>
    <numFmt numFmtId="187" formatCode="&quot;절편_x000a_&quot;General&quot; (b)&quot;"/>
    <numFmt numFmtId="188" formatCode="0.0000"/>
    <numFmt numFmtId="189" formatCode="&quot;R2 :&quot;\ 0.00000"/>
    <numFmt numFmtId="190" formatCode="&quot;R2 :&quot;\ 0.0000"/>
    <numFmt numFmtId="191" formatCode="0.#0"/>
    <numFmt numFmtId="192" formatCode="00\-00\-00"/>
    <numFmt numFmtId="193" formatCode="0.000"/>
    <numFmt numFmtId="194" formatCode="@\ \ \ \ \ \ \ \ &quot;(서명)&quot;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BIZ한마음고딕 R"/>
      <family val="1"/>
      <charset val="129"/>
    </font>
    <font>
      <sz val="8"/>
      <name val="맑은 고딕"/>
      <family val="2"/>
      <charset val="129"/>
      <scheme val="minor"/>
    </font>
    <font>
      <i/>
      <sz val="12"/>
      <color theme="1"/>
      <name val="KBIZ한마음고딕 R"/>
      <family val="1"/>
      <charset val="129"/>
    </font>
    <font>
      <b/>
      <i/>
      <sz val="12"/>
      <color theme="0"/>
      <name val="KBIZ한마음고딕 R"/>
      <family val="1"/>
      <charset val="129"/>
    </font>
    <font>
      <sz val="12"/>
      <color theme="0"/>
      <name val="KBIZ한마음고딕 R"/>
      <family val="1"/>
      <charset val="129"/>
    </font>
    <font>
      <sz val="14"/>
      <color theme="1"/>
      <name val="KBIZ한마음고딕 R"/>
      <family val="1"/>
      <charset val="129"/>
    </font>
    <font>
      <sz val="11"/>
      <color theme="1"/>
      <name val="KBIZ한마음고딕 R"/>
      <family val="1"/>
      <charset val="129"/>
    </font>
    <font>
      <sz val="12"/>
      <color theme="1"/>
      <name val="KBIZ한마음고딕 L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43">
    <xf numFmtId="0" fontId="0" fillId="0" borderId="0" xfId="0">
      <alignment vertical="center"/>
    </xf>
    <xf numFmtId="49" fontId="2" fillId="0" borderId="0" xfId="1" applyNumberFormat="1" applyFont="1" applyAlignment="1">
      <alignment horizontal="distributed" vertical="distributed" indent="1"/>
    </xf>
    <xf numFmtId="176" fontId="4" fillId="0" borderId="0" xfId="1" applyNumberFormat="1" applyFont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Font="1"/>
    <xf numFmtId="178" fontId="7" fillId="0" borderId="0" xfId="1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1" applyFont="1" applyAlignment="1">
      <alignment horizontal="left" vertical="center" indent="1"/>
    </xf>
    <xf numFmtId="179" fontId="6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80" fontId="2" fillId="0" borderId="0" xfId="1" applyNumberFormat="1" applyFont="1" applyAlignment="1">
      <alignment horizontal="distributed" vertical="distributed" indent="1"/>
    </xf>
    <xf numFmtId="180" fontId="2" fillId="0" borderId="1" xfId="1" applyNumberFormat="1" applyFont="1" applyBorder="1" applyAlignment="1">
      <alignment horizontal="distributed" vertical="distributed" indent="1"/>
    </xf>
    <xf numFmtId="0" fontId="2" fillId="0" borderId="1" xfId="1" applyFont="1" applyBorder="1" applyAlignment="1">
      <alignment horizontal="left" vertical="center" indent="1"/>
    </xf>
    <xf numFmtId="0" fontId="2" fillId="0" borderId="1" xfId="1" applyFont="1" applyBorder="1"/>
    <xf numFmtId="0" fontId="8" fillId="2" borderId="2" xfId="2" applyFont="1" applyFill="1" applyBorder="1" applyAlignment="1">
      <alignment horizontal="center" vertical="center"/>
    </xf>
    <xf numFmtId="181" fontId="8" fillId="2" borderId="2" xfId="2" applyNumberFormat="1" applyFont="1" applyFill="1" applyBorder="1" applyAlignment="1">
      <alignment horizontal="center" vertical="center" wrapText="1"/>
    </xf>
    <xf numFmtId="182" fontId="8" fillId="2" borderId="2" xfId="2" applyNumberFormat="1" applyFont="1" applyFill="1" applyBorder="1" applyAlignment="1">
      <alignment horizontal="center" vertical="center" wrapText="1"/>
    </xf>
    <xf numFmtId="183" fontId="8" fillId="2" borderId="2" xfId="2" applyNumberFormat="1" applyFont="1" applyFill="1" applyBorder="1" applyAlignment="1">
      <alignment horizontal="center" vertical="center" wrapText="1"/>
    </xf>
    <xf numFmtId="184" fontId="8" fillId="2" borderId="2" xfId="2" applyNumberFormat="1" applyFont="1" applyFill="1" applyBorder="1" applyAlignment="1">
      <alignment horizontal="center" vertical="center" wrapText="1"/>
    </xf>
    <xf numFmtId="185" fontId="8" fillId="2" borderId="2" xfId="2" applyNumberFormat="1" applyFont="1" applyFill="1" applyBorder="1" applyAlignment="1">
      <alignment horizontal="center" vertical="center" wrapText="1"/>
    </xf>
    <xf numFmtId="186" fontId="8" fillId="2" borderId="2" xfId="2" applyNumberFormat="1" applyFont="1" applyFill="1" applyBorder="1" applyAlignment="1">
      <alignment horizontal="center" vertical="center" wrapText="1"/>
    </xf>
    <xf numFmtId="187" fontId="8" fillId="2" borderId="2" xfId="2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188" fontId="8" fillId="2" borderId="0" xfId="0" applyNumberFormat="1" applyFont="1" applyFill="1" applyAlignment="1">
      <alignment horizontal="center" vertical="center"/>
    </xf>
    <xf numFmtId="189" fontId="8" fillId="2" borderId="3" xfId="0" applyNumberFormat="1" applyFont="1" applyFill="1" applyBorder="1" applyAlignment="1">
      <alignment horizontal="center" vertical="center"/>
    </xf>
    <xf numFmtId="190" fontId="8" fillId="2" borderId="3" xfId="0" applyNumberFormat="1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91" fontId="8" fillId="2" borderId="4" xfId="2" applyNumberFormat="1" applyFont="1" applyFill="1" applyBorder="1" applyAlignment="1">
      <alignment horizontal="center" vertical="center"/>
    </xf>
    <xf numFmtId="2" fontId="8" fillId="2" borderId="4" xfId="2" applyNumberFormat="1" applyFont="1" applyFill="1" applyBorder="1" applyAlignment="1">
      <alignment horizontal="center" vertical="center"/>
    </xf>
    <xf numFmtId="19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8" fontId="2" fillId="0" borderId="0" xfId="0" applyNumberFormat="1" applyFont="1" applyAlignment="1">
      <alignment horizontal="center" vertical="center"/>
    </xf>
    <xf numFmtId="193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93" fontId="2" fillId="3" borderId="0" xfId="0" applyNumberFormat="1" applyFont="1" applyFill="1" applyAlignment="1">
      <alignment horizontal="center" vertical="center"/>
    </xf>
    <xf numFmtId="0" fontId="2" fillId="0" borderId="5" xfId="3" applyFont="1" applyBorder="1" applyAlignment="1">
      <alignment horizontal="center" vertical="center" wrapText="1"/>
    </xf>
    <xf numFmtId="0" fontId="2" fillId="0" borderId="5" xfId="3" applyFont="1" applyBorder="1"/>
    <xf numFmtId="0" fontId="2" fillId="0" borderId="5" xfId="3" applyFont="1" applyBorder="1" applyAlignment="1">
      <alignment horizontal="center" vertical="center"/>
    </xf>
    <xf numFmtId="194" fontId="2" fillId="0" borderId="0" xfId="0" applyNumberFormat="1" applyFont="1" applyAlignment="1">
      <alignment horizontal="right" vertical="center" indent="1"/>
    </xf>
    <xf numFmtId="0" fontId="9" fillId="0" borderId="0" xfId="0" applyFont="1">
      <alignment vertical="center"/>
    </xf>
  </cellXfs>
  <cellStyles count="4">
    <cellStyle name="표준" xfId="0" builtinId="0"/>
    <cellStyle name="표준 3" xfId="1" xr:uid="{368BBA33-BDBA-5A48-917D-D08F98631FFF}"/>
    <cellStyle name="표준 4" xfId="2" xr:uid="{AD9F6FE3-624E-2F45-A59E-F708E30D3D1E}"/>
    <cellStyle name="표준 5" xfId="3" xr:uid="{E5CB8E84-4F74-9249-92F1-9DC70AB166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zrael/Downloads/CHUNGHA-&#4352;&#4469;&#4535;&#4352;&#4449;&#4357;&#4469;&#4523;.xlsm" TargetMode="External"/><Relationship Id="rId1" Type="http://schemas.openxmlformats.org/officeDocument/2006/relationships/externalLinkPath" Target="CHUNGHA-&#4352;&#4469;&#4535;&#4352;&#4449;&#4357;&#4469;&#452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(NPOC)"/>
      <sheetName val="BOD"/>
      <sheetName val="SS"/>
      <sheetName val="TN"/>
      <sheetName val="TOC(TCIC)"/>
      <sheetName val="TP"/>
      <sheetName val="Phenols"/>
      <sheetName val="COD-DATA"/>
      <sheetName val="N-Hexan"/>
      <sheetName val="배출업소시험성적서"/>
      <sheetName val="BOD-DATA"/>
      <sheetName val="SS-DATA"/>
      <sheetName val="TOC(TCIC)-DATA"/>
      <sheetName val="TOC(NPOC)-DATA"/>
      <sheetName val="Phenols-DATA"/>
      <sheetName val="N-Hexan-DATA"/>
      <sheetName val="TN-DATA"/>
      <sheetName val="TP-DATA"/>
      <sheetName val="NH3-DATA"/>
      <sheetName val="NO2-DATA"/>
      <sheetName val="NO3-DATA"/>
      <sheetName val="PO4-DATA"/>
      <sheetName val="VS-DATA"/>
      <sheetName val="TS-DATA"/>
      <sheetName val="설정"/>
      <sheetName val="연습장"/>
      <sheetName val="ERROR LIST"/>
      <sheetName val="분석계획"/>
      <sheetName val="의뢰번호"/>
      <sheetName val="COD"/>
      <sheetName val="NH3"/>
      <sheetName val="NO2"/>
      <sheetName val="NO3"/>
      <sheetName val="PO4"/>
      <sheetName val="VS"/>
      <sheetName val="TS"/>
      <sheetName val="시약"/>
      <sheetName val="시약BIG-DATA"/>
      <sheetName val="시약 기초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82ED-1F1F-E443-A82D-D474DD0E5C01}">
  <sheetPr codeName="Sheet7">
    <tabColor theme="9" tint="0.39997558519241921"/>
  </sheetPr>
  <dimension ref="A1:P39"/>
  <sheetViews>
    <sheetView tabSelected="1" view="pageBreakPreview" zoomScale="74" zoomScaleNormal="70" zoomScaleSheetLayoutView="70" zoomScalePageLayoutView="40" workbookViewId="0">
      <selection activeCell="G11" sqref="G11"/>
    </sheetView>
  </sheetViews>
  <sheetFormatPr baseColWidth="10" defaultColWidth="18.33203125" defaultRowHeight="24.75" customHeight="1"/>
  <cols>
    <col min="1" max="1" width="30.33203125" style="42" customWidth="1"/>
    <col min="2" max="8" width="16.6640625" style="42" customWidth="1"/>
    <col min="9" max="9" width="30.5" style="42" customWidth="1"/>
    <col min="10" max="10" width="16.6640625" style="42" customWidth="1"/>
    <col min="11" max="11" width="27.33203125" style="42" customWidth="1"/>
    <col min="12" max="16" width="16.6640625" style="42" customWidth="1"/>
    <col min="17" max="16384" width="18.33203125" style="42"/>
  </cols>
  <sheetData>
    <row r="1" spans="1:16" s="8" customFormat="1" ht="29.25" customHeight="1">
      <c r="A1" s="1" t="s">
        <v>0</v>
      </c>
      <c r="B1" s="2">
        <v>46066</v>
      </c>
      <c r="C1" s="2"/>
      <c r="D1" s="3"/>
      <c r="E1" s="4">
        <v>57</v>
      </c>
      <c r="F1" s="5">
        <v>2237</v>
      </c>
      <c r="G1" s="6"/>
      <c r="H1" s="7"/>
      <c r="I1" s="1" t="s">
        <v>0</v>
      </c>
      <c r="J1" s="2">
        <f>B1</f>
        <v>46066</v>
      </c>
      <c r="K1" s="2"/>
      <c r="L1" s="3"/>
      <c r="M1" s="4">
        <v>0</v>
      </c>
      <c r="N1" s="5">
        <v>914</v>
      </c>
      <c r="O1" s="6"/>
      <c r="P1" s="6"/>
    </row>
    <row r="2" spans="1:16" s="8" customFormat="1" ht="29.25" customHeight="1">
      <c r="A2" s="1" t="s">
        <v>1</v>
      </c>
      <c r="B2" s="9" t="s">
        <v>2</v>
      </c>
      <c r="C2" s="3"/>
      <c r="D2" s="10"/>
      <c r="E2" s="11"/>
      <c r="F2" s="11"/>
      <c r="G2" s="6"/>
      <c r="H2" s="6"/>
      <c r="I2" s="1" t="s">
        <v>1</v>
      </c>
      <c r="J2" s="9" t="s">
        <v>3</v>
      </c>
      <c r="K2" s="3"/>
      <c r="L2" s="10">
        <v>1</v>
      </c>
      <c r="M2" s="11"/>
      <c r="N2" s="11"/>
      <c r="O2" s="6"/>
      <c r="P2" s="6"/>
    </row>
    <row r="3" spans="1:16" s="8" customFormat="1" ht="29.25" customHeight="1">
      <c r="A3" s="12" t="s">
        <v>4</v>
      </c>
      <c r="B3" s="9" t="s">
        <v>5</v>
      </c>
      <c r="C3" s="3"/>
      <c r="D3" s="11"/>
      <c r="E3" s="3"/>
      <c r="F3" s="3"/>
      <c r="G3" s="6"/>
      <c r="H3" s="6"/>
      <c r="I3" s="12" t="s">
        <v>4</v>
      </c>
      <c r="J3" s="9" t="s">
        <v>6</v>
      </c>
      <c r="K3" s="3"/>
      <c r="L3" s="11"/>
      <c r="M3" s="3"/>
      <c r="N3" s="3"/>
      <c r="O3" s="6"/>
      <c r="P3" s="6"/>
    </row>
    <row r="4" spans="1:16" s="8" customFormat="1" ht="29.25" customHeight="1" thickBot="1">
      <c r="A4" s="13" t="s">
        <v>7</v>
      </c>
      <c r="B4" s="14" t="s">
        <v>8</v>
      </c>
      <c r="C4" s="14"/>
      <c r="D4" s="14"/>
      <c r="E4" s="14"/>
      <c r="F4" s="14"/>
      <c r="G4" s="14"/>
      <c r="H4" s="15"/>
      <c r="I4" s="13" t="s">
        <v>7</v>
      </c>
      <c r="J4" s="14" t="s">
        <v>8</v>
      </c>
      <c r="K4" s="14"/>
      <c r="L4" s="14"/>
      <c r="M4" s="14"/>
      <c r="N4" s="14"/>
      <c r="O4" s="14"/>
      <c r="P4" s="15"/>
    </row>
    <row r="5" spans="1:16" s="24" customFormat="1" ht="36.75" customHeight="1" thickTop="1">
      <c r="A5" s="16" t="s">
        <v>9</v>
      </c>
      <c r="B5" s="17">
        <v>0</v>
      </c>
      <c r="C5" s="18">
        <v>0.5</v>
      </c>
      <c r="D5" s="19">
        <v>1</v>
      </c>
      <c r="E5" s="20">
        <v>1.5</v>
      </c>
      <c r="F5" s="21">
        <v>2</v>
      </c>
      <c r="G5" s="22">
        <v>0.208514</v>
      </c>
      <c r="H5" s="23">
        <v>1.56708E-3</v>
      </c>
      <c r="I5" s="16" t="s">
        <v>9</v>
      </c>
      <c r="J5" s="17">
        <v>0</v>
      </c>
      <c r="K5" s="18">
        <v>0.5</v>
      </c>
      <c r="L5" s="19">
        <v>1</v>
      </c>
      <c r="M5" s="20">
        <v>1.5</v>
      </c>
      <c r="N5" s="21">
        <v>2</v>
      </c>
      <c r="O5" s="22">
        <v>0.208514</v>
      </c>
      <c r="P5" s="23">
        <v>1.56708E-3</v>
      </c>
    </row>
    <row r="6" spans="1:16" s="24" customFormat="1" ht="29.25" customHeight="1">
      <c r="A6" s="25" t="s">
        <v>10</v>
      </c>
      <c r="B6" s="26">
        <v>5.0000000000000001E-4</v>
      </c>
      <c r="C6" s="26">
        <v>0.10639999999999999</v>
      </c>
      <c r="D6" s="26">
        <v>0.21299999999999999</v>
      </c>
      <c r="E6" s="26">
        <v>0.31109999999999999</v>
      </c>
      <c r="F6" s="26">
        <v>0.4194</v>
      </c>
      <c r="G6" s="27">
        <v>0.99980999999999998</v>
      </c>
      <c r="H6" s="27"/>
      <c r="I6" s="25" t="s">
        <v>10</v>
      </c>
      <c r="J6" s="25">
        <v>5.0000000000000001E-4</v>
      </c>
      <c r="K6" s="25">
        <v>0.10639999999999999</v>
      </c>
      <c r="L6" s="25">
        <v>0.21299999999999999</v>
      </c>
      <c r="M6" s="25">
        <v>0.31109999999999999</v>
      </c>
      <c r="N6" s="25">
        <v>0.4194</v>
      </c>
      <c r="O6" s="28">
        <v>0.99980999999999998</v>
      </c>
      <c r="P6" s="28"/>
    </row>
    <row r="7" spans="1:16" s="24" customFormat="1" ht="29.25" customHeight="1" thickBot="1">
      <c r="A7" s="29" t="s">
        <v>11</v>
      </c>
      <c r="B7" s="29" t="s">
        <v>12</v>
      </c>
      <c r="C7" s="30" t="s">
        <v>13</v>
      </c>
      <c r="D7" s="31" t="s">
        <v>14</v>
      </c>
      <c r="E7" s="30" t="s">
        <v>15</v>
      </c>
      <c r="F7" s="30" t="s">
        <v>16</v>
      </c>
      <c r="G7" s="30" t="s">
        <v>17</v>
      </c>
      <c r="H7" s="30" t="s">
        <v>18</v>
      </c>
      <c r="I7" s="30" t="s">
        <v>11</v>
      </c>
      <c r="J7" s="30" t="s">
        <v>19</v>
      </c>
      <c r="K7" s="30" t="s">
        <v>13</v>
      </c>
      <c r="L7" s="30" t="s">
        <v>14</v>
      </c>
      <c r="M7" s="30" t="s">
        <v>15</v>
      </c>
      <c r="N7" s="30" t="s">
        <v>16</v>
      </c>
      <c r="O7" s="30" t="s">
        <v>17</v>
      </c>
      <c r="P7" s="29" t="s">
        <v>18</v>
      </c>
    </row>
    <row r="8" spans="1:16" s="8" customFormat="1" ht="29.25" customHeight="1" thickTop="1">
      <c r="A8" s="32" t="s">
        <v>20</v>
      </c>
      <c r="B8" s="33">
        <v>5</v>
      </c>
      <c r="C8" s="34">
        <v>0.3392</v>
      </c>
      <c r="D8" s="33">
        <v>1</v>
      </c>
      <c r="E8" s="34">
        <f t="shared" ref="E8:E37" si="0">IF($A$8:$A$37&lt;&gt;"",(($C$8:$C$37-$H$5)/$G$5),"")</f>
        <v>1.619233816434388</v>
      </c>
      <c r="F8" s="35">
        <f t="shared" ref="F8:F37" si="1">IF($A$8:$A$37&lt;&gt;"",ROUND(((60/$B$8:$B$37)*($E$8:$E$37)*$D$8:$D$37),3),"")</f>
        <v>19.431000000000001</v>
      </c>
      <c r="G8" s="33"/>
      <c r="H8" s="36" t="s">
        <v>21</v>
      </c>
      <c r="I8" s="32"/>
      <c r="J8" s="33"/>
      <c r="K8" s="34"/>
      <c r="L8" s="33"/>
      <c r="M8" s="34" t="str">
        <f t="shared" ref="M8:M37" si="2">IF($I$8:$I$37&lt;&gt;"",(($K$8:$K$37-$H$5)/$G$5),"")</f>
        <v/>
      </c>
      <c r="N8" s="35" t="str">
        <f t="shared" ref="N8:N37" si="3">IF($I$8:$I$37&lt;&gt;"",ROUND(((60/$J$8:$J$37)*($M$8:$M$37)*$L$8:$L$37),3),"")</f>
        <v/>
      </c>
      <c r="O8" s="33"/>
      <c r="P8" s="33"/>
    </row>
    <row r="9" spans="1:16" s="8" customFormat="1" ht="29.25" customHeight="1">
      <c r="A9" s="32" t="s">
        <v>22</v>
      </c>
      <c r="B9" s="33">
        <v>10</v>
      </c>
      <c r="C9" s="34">
        <v>0.31619999999999998</v>
      </c>
      <c r="D9" s="33">
        <v>5</v>
      </c>
      <c r="E9" s="34">
        <f t="shared" si="0"/>
        <v>1.5089294723615678</v>
      </c>
      <c r="F9" s="35">
        <f t="shared" si="1"/>
        <v>45.268000000000001</v>
      </c>
      <c r="G9" s="33"/>
      <c r="H9" s="36" t="s">
        <v>23</v>
      </c>
      <c r="I9" s="32"/>
      <c r="J9" s="33"/>
      <c r="K9" s="34"/>
      <c r="L9" s="33"/>
      <c r="M9" s="34" t="str">
        <f t="shared" si="2"/>
        <v/>
      </c>
      <c r="N9" s="35" t="str">
        <f t="shared" si="3"/>
        <v/>
      </c>
      <c r="O9" s="33"/>
      <c r="P9" s="36"/>
    </row>
    <row r="10" spans="1:16" s="8" customFormat="1" ht="29.25" customHeight="1">
      <c r="A10" s="32" t="s">
        <v>24</v>
      </c>
      <c r="B10" s="33">
        <v>10</v>
      </c>
      <c r="C10" s="34">
        <v>0.1691</v>
      </c>
      <c r="D10" s="33">
        <v>5</v>
      </c>
      <c r="E10" s="34">
        <f t="shared" si="0"/>
        <v>0.80346125440018412</v>
      </c>
      <c r="F10" s="35">
        <f t="shared" si="1"/>
        <v>24.103999999999999</v>
      </c>
      <c r="G10" s="33"/>
      <c r="H10" s="36" t="s">
        <v>25</v>
      </c>
      <c r="I10" s="32"/>
      <c r="J10" s="33"/>
      <c r="K10" s="34"/>
      <c r="L10" s="33"/>
      <c r="M10" s="34" t="str">
        <f t="shared" si="2"/>
        <v/>
      </c>
      <c r="N10" s="35" t="str">
        <f t="shared" si="3"/>
        <v/>
      </c>
      <c r="O10" s="33"/>
      <c r="P10" s="33"/>
    </row>
    <row r="11" spans="1:16" s="8" customFormat="1" ht="29.25" customHeight="1">
      <c r="A11" s="32" t="s">
        <v>26</v>
      </c>
      <c r="B11" s="33">
        <v>10</v>
      </c>
      <c r="C11" s="34">
        <v>0.372</v>
      </c>
      <c r="D11" s="33">
        <v>1</v>
      </c>
      <c r="E11" s="34">
        <f t="shared" si="0"/>
        <v>1.7765374027643228</v>
      </c>
      <c r="F11" s="35">
        <f t="shared" si="1"/>
        <v>10.659000000000001</v>
      </c>
      <c r="G11" s="33"/>
      <c r="H11" s="36" t="s">
        <v>27</v>
      </c>
      <c r="I11" s="32"/>
      <c r="J11" s="33"/>
      <c r="K11" s="34"/>
      <c r="L11" s="33"/>
      <c r="M11" s="34" t="str">
        <f t="shared" si="2"/>
        <v/>
      </c>
      <c r="N11" s="35" t="str">
        <f t="shared" si="3"/>
        <v/>
      </c>
      <c r="O11" s="33"/>
      <c r="P11" s="33"/>
    </row>
    <row r="12" spans="1:16" s="8" customFormat="1" ht="29.25" customHeight="1">
      <c r="A12" s="32" t="s">
        <v>28</v>
      </c>
      <c r="B12" s="33">
        <v>10</v>
      </c>
      <c r="C12" s="34">
        <v>0.1145</v>
      </c>
      <c r="D12" s="33">
        <v>5</v>
      </c>
      <c r="E12" s="34">
        <f t="shared" si="0"/>
        <v>0.54160833325340263</v>
      </c>
      <c r="F12" s="35">
        <f t="shared" si="1"/>
        <v>16.248000000000001</v>
      </c>
      <c r="G12" s="33"/>
      <c r="H12" s="36" t="s">
        <v>29</v>
      </c>
      <c r="I12" s="32"/>
      <c r="J12" s="33"/>
      <c r="K12" s="34"/>
      <c r="L12" s="33"/>
      <c r="M12" s="34" t="str">
        <f t="shared" si="2"/>
        <v/>
      </c>
      <c r="N12" s="35" t="str">
        <f t="shared" si="3"/>
        <v/>
      </c>
      <c r="O12" s="33"/>
      <c r="P12" s="36"/>
    </row>
    <row r="13" spans="1:16" s="8" customFormat="1" ht="29.25" customHeight="1">
      <c r="A13" s="32" t="s">
        <v>30</v>
      </c>
      <c r="B13" s="33">
        <v>5</v>
      </c>
      <c r="C13" s="34">
        <v>0.31040000000000001</v>
      </c>
      <c r="D13" s="33">
        <v>1</v>
      </c>
      <c r="E13" s="34">
        <f t="shared" si="0"/>
        <v>1.4811135942910307</v>
      </c>
      <c r="F13" s="35">
        <f t="shared" si="1"/>
        <v>17.773</v>
      </c>
      <c r="G13" s="33"/>
      <c r="H13" s="36" t="s">
        <v>31</v>
      </c>
      <c r="I13" s="32"/>
      <c r="J13" s="33"/>
      <c r="K13" s="34"/>
      <c r="L13" s="33"/>
      <c r="M13" s="34" t="str">
        <f t="shared" si="2"/>
        <v/>
      </c>
      <c r="N13" s="35" t="str">
        <f t="shared" si="3"/>
        <v/>
      </c>
      <c r="O13" s="33"/>
      <c r="P13" s="36"/>
    </row>
    <row r="14" spans="1:16" s="8" customFormat="1" ht="29.25" customHeight="1">
      <c r="A14" s="32" t="s">
        <v>32</v>
      </c>
      <c r="B14" s="33">
        <v>10</v>
      </c>
      <c r="C14" s="34">
        <v>0.36820000000000003</v>
      </c>
      <c r="D14" s="33">
        <v>5</v>
      </c>
      <c r="E14" s="34">
        <f t="shared" si="0"/>
        <v>1.7583132067870744</v>
      </c>
      <c r="F14" s="37">
        <f t="shared" si="1"/>
        <v>52.749000000000002</v>
      </c>
      <c r="G14" s="33"/>
      <c r="H14" s="36" t="s">
        <v>33</v>
      </c>
      <c r="I14" s="32"/>
      <c r="J14" s="33"/>
      <c r="K14" s="34"/>
      <c r="L14" s="33"/>
      <c r="M14" s="34" t="str">
        <f t="shared" si="2"/>
        <v/>
      </c>
      <c r="N14" s="35" t="str">
        <f t="shared" si="3"/>
        <v/>
      </c>
      <c r="O14" s="33"/>
      <c r="P14" s="36"/>
    </row>
    <row r="15" spans="1:16" s="8" customFormat="1" ht="29.25" customHeight="1">
      <c r="A15" s="32" t="s">
        <v>34</v>
      </c>
      <c r="B15" s="33">
        <v>50</v>
      </c>
      <c r="C15" s="34">
        <v>0.27500000000000002</v>
      </c>
      <c r="D15" s="33">
        <v>1</v>
      </c>
      <c r="E15" s="34">
        <f t="shared" si="0"/>
        <v>1.311340821239821</v>
      </c>
      <c r="F15" s="37">
        <f t="shared" si="1"/>
        <v>1.5740000000000001</v>
      </c>
      <c r="G15" s="33"/>
      <c r="H15" s="36" t="s">
        <v>35</v>
      </c>
      <c r="I15" s="32"/>
      <c r="J15" s="33"/>
      <c r="K15" s="34"/>
      <c r="L15" s="33"/>
      <c r="M15" s="34" t="str">
        <f t="shared" si="2"/>
        <v/>
      </c>
      <c r="N15" s="35" t="str">
        <f t="shared" si="3"/>
        <v/>
      </c>
      <c r="O15" s="33"/>
      <c r="P15" s="36"/>
    </row>
    <row r="16" spans="1:16" s="8" customFormat="1" ht="29.25" customHeight="1">
      <c r="A16" s="32" t="s">
        <v>36</v>
      </c>
      <c r="B16" s="33">
        <v>10</v>
      </c>
      <c r="C16" s="34">
        <v>0.17480000000000001</v>
      </c>
      <c r="D16" s="33">
        <v>5</v>
      </c>
      <c r="E16" s="34">
        <f t="shared" si="0"/>
        <v>0.83079754836605701</v>
      </c>
      <c r="F16" s="37">
        <f t="shared" si="1"/>
        <v>24.923999999999999</v>
      </c>
      <c r="G16" s="33"/>
      <c r="H16" s="36" t="s">
        <v>37</v>
      </c>
      <c r="I16" s="32"/>
      <c r="J16" s="33"/>
      <c r="K16" s="34"/>
      <c r="L16" s="33"/>
      <c r="M16" s="34" t="str">
        <f t="shared" si="2"/>
        <v/>
      </c>
      <c r="N16" s="35" t="str">
        <f t="shared" si="3"/>
        <v/>
      </c>
      <c r="O16" s="33"/>
      <c r="P16" s="36"/>
    </row>
    <row r="17" spans="1:16" s="8" customFormat="1" ht="29.25" customHeight="1">
      <c r="A17" s="32" t="s">
        <v>38</v>
      </c>
      <c r="B17" s="33">
        <v>25</v>
      </c>
      <c r="C17" s="34">
        <v>0.14180000000000001</v>
      </c>
      <c r="D17" s="33">
        <v>1</v>
      </c>
      <c r="E17" s="34">
        <f t="shared" si="0"/>
        <v>0.67253479382679349</v>
      </c>
      <c r="F17" s="35">
        <f t="shared" si="1"/>
        <v>1.6140000000000001</v>
      </c>
      <c r="G17" s="33"/>
      <c r="H17" s="36" t="s">
        <v>39</v>
      </c>
      <c r="I17" s="32"/>
      <c r="J17" s="33"/>
      <c r="K17" s="34"/>
      <c r="L17" s="33"/>
      <c r="M17" s="34" t="str">
        <f t="shared" si="2"/>
        <v/>
      </c>
      <c r="N17" s="35" t="str">
        <f t="shared" si="3"/>
        <v/>
      </c>
      <c r="O17" s="33"/>
      <c r="P17" s="33"/>
    </row>
    <row r="18" spans="1:16" s="8" customFormat="1" ht="29.25" customHeight="1">
      <c r="A18" s="32" t="s">
        <v>40</v>
      </c>
      <c r="B18" s="33">
        <v>10</v>
      </c>
      <c r="C18" s="34">
        <v>0.2596</v>
      </c>
      <c r="D18" s="33">
        <v>1</v>
      </c>
      <c r="E18" s="34">
        <f t="shared" si="0"/>
        <v>1.2374848691214979</v>
      </c>
      <c r="F18" s="35">
        <f t="shared" si="1"/>
        <v>7.4249999999999998</v>
      </c>
      <c r="G18" s="33"/>
      <c r="H18" s="33" t="s">
        <v>41</v>
      </c>
      <c r="I18" s="32"/>
      <c r="J18" s="33"/>
      <c r="K18" s="34"/>
      <c r="L18" s="33"/>
      <c r="M18" s="34" t="str">
        <f t="shared" si="2"/>
        <v/>
      </c>
      <c r="N18" s="35" t="str">
        <f t="shared" si="3"/>
        <v/>
      </c>
      <c r="O18" s="33"/>
      <c r="P18" s="33"/>
    </row>
    <row r="19" spans="1:16" s="8" customFormat="1" ht="29.25" customHeight="1">
      <c r="A19" s="32" t="s">
        <v>42</v>
      </c>
      <c r="B19" s="33" t="s">
        <v>43</v>
      </c>
      <c r="C19" s="34" t="s">
        <v>44</v>
      </c>
      <c r="D19" s="33" t="s">
        <v>45</v>
      </c>
      <c r="E19" s="34">
        <f t="shared" si="0"/>
        <v>1.7822924120202959</v>
      </c>
      <c r="F19" s="35">
        <f t="shared" si="1"/>
        <v>10.694000000000001</v>
      </c>
      <c r="G19" s="33"/>
      <c r="H19" s="33" t="s">
        <v>46</v>
      </c>
      <c r="I19" s="32"/>
      <c r="J19" s="33"/>
      <c r="K19" s="34"/>
      <c r="L19" s="33"/>
      <c r="M19" s="34" t="str">
        <f t="shared" si="2"/>
        <v/>
      </c>
      <c r="N19" s="35" t="str">
        <f t="shared" si="3"/>
        <v/>
      </c>
      <c r="O19" s="33"/>
      <c r="P19" s="33"/>
    </row>
    <row r="20" spans="1:16" s="8" customFormat="1" ht="29.25" customHeight="1">
      <c r="A20" s="32" t="s">
        <v>47</v>
      </c>
      <c r="B20" s="33" t="s">
        <v>43</v>
      </c>
      <c r="C20" s="34" t="s">
        <v>48</v>
      </c>
      <c r="D20" s="33" t="s">
        <v>49</v>
      </c>
      <c r="E20" s="34">
        <f t="shared" si="0"/>
        <v>0.78667581073692894</v>
      </c>
      <c r="F20" s="35">
        <f t="shared" si="1"/>
        <v>23.6</v>
      </c>
      <c r="G20" s="33"/>
      <c r="H20" s="33" t="s">
        <v>50</v>
      </c>
      <c r="I20" s="32"/>
      <c r="J20" s="33"/>
      <c r="K20" s="34"/>
      <c r="L20" s="33"/>
      <c r="M20" s="34" t="str">
        <f t="shared" si="2"/>
        <v/>
      </c>
      <c r="N20" s="35" t="str">
        <f t="shared" si="3"/>
        <v/>
      </c>
      <c r="O20" s="33"/>
      <c r="P20" s="33"/>
    </row>
    <row r="21" spans="1:16" s="8" customFormat="1" ht="29.25" customHeight="1">
      <c r="A21" s="32" t="s">
        <v>51</v>
      </c>
      <c r="B21" s="33" t="s">
        <v>43</v>
      </c>
      <c r="C21" s="34" t="s">
        <v>52</v>
      </c>
      <c r="D21" s="33" t="s">
        <v>49</v>
      </c>
      <c r="E21" s="34">
        <f t="shared" si="0"/>
        <v>1.1914447950737121</v>
      </c>
      <c r="F21" s="35">
        <f t="shared" si="1"/>
        <v>35.743000000000002</v>
      </c>
      <c r="G21" s="33"/>
      <c r="H21" s="33" t="s">
        <v>53</v>
      </c>
      <c r="I21" s="32"/>
      <c r="J21" s="33"/>
      <c r="K21" s="33"/>
      <c r="L21" s="33"/>
      <c r="M21" s="33" t="str">
        <f t="shared" si="2"/>
        <v/>
      </c>
      <c r="N21" s="35" t="str">
        <f t="shared" si="3"/>
        <v/>
      </c>
      <c r="O21" s="33"/>
      <c r="P21" s="33"/>
    </row>
    <row r="22" spans="1:16" s="8" customFormat="1" ht="29.25" customHeight="1">
      <c r="A22" s="32" t="s">
        <v>54</v>
      </c>
      <c r="B22" s="33" t="s">
        <v>49</v>
      </c>
      <c r="C22" s="34" t="s">
        <v>55</v>
      </c>
      <c r="D22" s="33" t="s">
        <v>49</v>
      </c>
      <c r="E22" s="34">
        <f t="shared" si="0"/>
        <v>0.77276787170166039</v>
      </c>
      <c r="F22" s="35">
        <f t="shared" si="1"/>
        <v>46.366</v>
      </c>
      <c r="G22" s="33"/>
      <c r="H22" s="33" t="s">
        <v>56</v>
      </c>
      <c r="I22" s="32"/>
      <c r="J22" s="33"/>
      <c r="K22" s="33"/>
      <c r="L22" s="33"/>
      <c r="M22" s="33" t="str">
        <f t="shared" si="2"/>
        <v/>
      </c>
      <c r="N22" s="35" t="str">
        <f t="shared" si="3"/>
        <v/>
      </c>
      <c r="O22" s="33"/>
      <c r="P22" s="33"/>
    </row>
    <row r="23" spans="1:16" s="8" customFormat="1" ht="29.25" customHeight="1">
      <c r="A23" s="32" t="s">
        <v>57</v>
      </c>
      <c r="B23" s="33" t="s">
        <v>58</v>
      </c>
      <c r="C23" s="34" t="s">
        <v>59</v>
      </c>
      <c r="D23" s="33" t="s">
        <v>45</v>
      </c>
      <c r="E23" s="34">
        <f t="shared" si="0"/>
        <v>1.6528047037608986</v>
      </c>
      <c r="F23" s="35">
        <f t="shared" si="1"/>
        <v>3.9670000000000001</v>
      </c>
      <c r="G23" s="33"/>
      <c r="H23" s="33" t="s">
        <v>60</v>
      </c>
      <c r="I23" s="32"/>
      <c r="J23" s="33"/>
      <c r="K23" s="33"/>
      <c r="L23" s="33"/>
      <c r="M23" s="33" t="str">
        <f t="shared" si="2"/>
        <v/>
      </c>
      <c r="N23" s="35" t="str">
        <f t="shared" si="3"/>
        <v/>
      </c>
      <c r="O23" s="33"/>
      <c r="P23" s="33"/>
    </row>
    <row r="24" spans="1:16" s="8" customFormat="1" ht="29.25" customHeight="1">
      <c r="A24" s="32" t="s">
        <v>61</v>
      </c>
      <c r="B24" s="33" t="s">
        <v>43</v>
      </c>
      <c r="C24" s="34" t="s">
        <v>62</v>
      </c>
      <c r="D24" s="33" t="s">
        <v>49</v>
      </c>
      <c r="E24" s="34">
        <f t="shared" si="0"/>
        <v>0.82887921194739922</v>
      </c>
      <c r="F24" s="35">
        <f t="shared" si="1"/>
        <v>24.866</v>
      </c>
      <c r="G24" s="33"/>
      <c r="H24" s="33" t="s">
        <v>63</v>
      </c>
      <c r="I24" s="32"/>
      <c r="J24" s="33"/>
      <c r="K24" s="33"/>
      <c r="L24" s="33"/>
      <c r="M24" s="33" t="str">
        <f t="shared" si="2"/>
        <v/>
      </c>
      <c r="N24" s="35" t="str">
        <f t="shared" si="3"/>
        <v/>
      </c>
      <c r="O24" s="33"/>
      <c r="P24" s="33"/>
    </row>
    <row r="25" spans="1:16" s="8" customFormat="1" ht="29.25" customHeight="1">
      <c r="A25" s="32" t="s">
        <v>64</v>
      </c>
      <c r="B25" s="33" t="s">
        <v>49</v>
      </c>
      <c r="C25" s="34" t="s">
        <v>65</v>
      </c>
      <c r="D25" s="33" t="s">
        <v>49</v>
      </c>
      <c r="E25" s="34">
        <f t="shared" si="0"/>
        <v>0.71857486787457914</v>
      </c>
      <c r="F25" s="35">
        <f t="shared" si="1"/>
        <v>43.113999999999997</v>
      </c>
      <c r="G25" s="33"/>
      <c r="H25" s="33" t="s">
        <v>66</v>
      </c>
      <c r="I25" s="32"/>
      <c r="J25" s="33"/>
      <c r="K25" s="33"/>
      <c r="L25" s="33"/>
      <c r="M25" s="33" t="str">
        <f t="shared" si="2"/>
        <v/>
      </c>
      <c r="N25" s="35" t="str">
        <f t="shared" si="3"/>
        <v/>
      </c>
      <c r="O25" s="33"/>
      <c r="P25" s="33"/>
    </row>
    <row r="26" spans="1:16" s="8" customFormat="1" ht="29.25" customHeight="1">
      <c r="A26" s="33" t="s">
        <v>67</v>
      </c>
      <c r="B26" s="33" t="s">
        <v>43</v>
      </c>
      <c r="C26" s="33" t="s">
        <v>68</v>
      </c>
      <c r="D26" s="33" t="s">
        <v>49</v>
      </c>
      <c r="E26" s="33">
        <f t="shared" si="0"/>
        <v>0.81257335238880846</v>
      </c>
      <c r="F26" s="33">
        <f t="shared" si="1"/>
        <v>24.376999999999999</v>
      </c>
      <c r="G26" s="33"/>
      <c r="H26" s="33" t="s">
        <v>69</v>
      </c>
      <c r="I26" s="32"/>
      <c r="J26" s="33"/>
      <c r="K26" s="33"/>
      <c r="L26" s="33"/>
      <c r="M26" s="33" t="str">
        <f t="shared" si="2"/>
        <v/>
      </c>
      <c r="N26" s="35" t="str">
        <f t="shared" si="3"/>
        <v/>
      </c>
      <c r="O26" s="33"/>
      <c r="P26" s="33"/>
    </row>
    <row r="27" spans="1:16" s="8" customFormat="1" ht="29.25" customHeight="1">
      <c r="A27" s="32" t="s">
        <v>70</v>
      </c>
      <c r="B27" s="33" t="s">
        <v>43</v>
      </c>
      <c r="C27" s="34" t="s">
        <v>71</v>
      </c>
      <c r="D27" s="33" t="s">
        <v>45</v>
      </c>
      <c r="E27" s="34">
        <f t="shared" si="0"/>
        <v>1.408696394486701</v>
      </c>
      <c r="F27" s="35">
        <f t="shared" si="1"/>
        <v>8.452</v>
      </c>
      <c r="G27" s="33"/>
      <c r="H27" s="33" t="s">
        <v>72</v>
      </c>
      <c r="I27" s="32"/>
      <c r="J27" s="33"/>
      <c r="K27" s="33"/>
      <c r="L27" s="33"/>
      <c r="M27" s="33" t="str">
        <f t="shared" si="2"/>
        <v/>
      </c>
      <c r="N27" s="35" t="str">
        <f t="shared" si="3"/>
        <v/>
      </c>
      <c r="O27" s="33"/>
      <c r="P27" s="33"/>
    </row>
    <row r="28" spans="1:16" s="8" customFormat="1" ht="29.25" customHeight="1">
      <c r="A28" s="32" t="s">
        <v>73</v>
      </c>
      <c r="B28" s="33" t="s">
        <v>43</v>
      </c>
      <c r="C28" s="34" t="s">
        <v>74</v>
      </c>
      <c r="D28" s="33" t="s">
        <v>45</v>
      </c>
      <c r="E28" s="34">
        <f t="shared" si="0"/>
        <v>1.0854567079428719</v>
      </c>
      <c r="F28" s="35">
        <f t="shared" si="1"/>
        <v>6.5129999999999999</v>
      </c>
      <c r="G28" s="33"/>
      <c r="H28" s="33" t="s">
        <v>75</v>
      </c>
      <c r="I28" s="32"/>
      <c r="J28" s="33"/>
      <c r="K28" s="33"/>
      <c r="L28" s="33"/>
      <c r="M28" s="33" t="str">
        <f t="shared" si="2"/>
        <v/>
      </c>
      <c r="N28" s="35" t="str">
        <f t="shared" si="3"/>
        <v/>
      </c>
      <c r="O28" s="33"/>
      <c r="P28" s="33"/>
    </row>
    <row r="29" spans="1:16" s="8" customFormat="1" ht="29.25" customHeight="1">
      <c r="A29" s="32" t="s">
        <v>76</v>
      </c>
      <c r="B29" s="33" t="s">
        <v>43</v>
      </c>
      <c r="C29" s="34" t="s">
        <v>77</v>
      </c>
      <c r="D29" s="33" t="s">
        <v>49</v>
      </c>
      <c r="E29" s="34">
        <f t="shared" si="0"/>
        <v>0.89841890712374228</v>
      </c>
      <c r="F29" s="35">
        <f t="shared" si="1"/>
        <v>26.952999999999999</v>
      </c>
      <c r="G29" s="33"/>
      <c r="H29" s="33" t="s">
        <v>78</v>
      </c>
      <c r="I29" s="32"/>
      <c r="J29" s="33"/>
      <c r="K29" s="33"/>
      <c r="L29" s="33"/>
      <c r="M29" s="33" t="str">
        <f t="shared" si="2"/>
        <v/>
      </c>
      <c r="N29" s="35" t="str">
        <f t="shared" si="3"/>
        <v/>
      </c>
      <c r="O29" s="33"/>
      <c r="P29" s="33"/>
    </row>
    <row r="30" spans="1:16" s="8" customFormat="1" ht="29.25" customHeight="1">
      <c r="A30" s="32" t="s">
        <v>79</v>
      </c>
      <c r="B30" s="33" t="s">
        <v>49</v>
      </c>
      <c r="C30" s="34" t="s">
        <v>80</v>
      </c>
      <c r="D30" s="33" t="s">
        <v>43</v>
      </c>
      <c r="E30" s="34">
        <f t="shared" si="0"/>
        <v>1.1410884640839463</v>
      </c>
      <c r="F30" s="35">
        <f t="shared" si="1"/>
        <v>136.93100000000001</v>
      </c>
      <c r="G30" s="33"/>
      <c r="H30" s="33" t="s">
        <v>81</v>
      </c>
      <c r="I30" s="32"/>
      <c r="J30" s="33"/>
      <c r="K30" s="33"/>
      <c r="L30" s="33"/>
      <c r="M30" s="33" t="str">
        <f t="shared" si="2"/>
        <v/>
      </c>
      <c r="N30" s="35" t="str">
        <f t="shared" si="3"/>
        <v/>
      </c>
      <c r="O30" s="33"/>
      <c r="P30" s="33"/>
    </row>
    <row r="31" spans="1:16" s="8" customFormat="1" ht="29.25" customHeight="1">
      <c r="A31" s="32" t="s">
        <v>79</v>
      </c>
      <c r="B31" s="33" t="s">
        <v>49</v>
      </c>
      <c r="C31" s="34" t="s">
        <v>82</v>
      </c>
      <c r="D31" s="33" t="s">
        <v>45</v>
      </c>
      <c r="E31" s="34">
        <f t="shared" si="0"/>
        <v>0.55887336102132223</v>
      </c>
      <c r="F31" s="35">
        <f t="shared" si="1"/>
        <v>6.7060000000000004</v>
      </c>
      <c r="G31" s="33"/>
      <c r="H31" s="33" t="s">
        <v>83</v>
      </c>
      <c r="I31" s="32"/>
      <c r="J31" s="33"/>
      <c r="K31" s="33"/>
      <c r="L31" s="33"/>
      <c r="M31" s="33" t="str">
        <f t="shared" si="2"/>
        <v/>
      </c>
      <c r="N31" s="35" t="str">
        <f t="shared" si="3"/>
        <v/>
      </c>
      <c r="O31" s="33"/>
      <c r="P31" s="33"/>
    </row>
    <row r="32" spans="1:16" s="8" customFormat="1" ht="29.25" customHeight="1">
      <c r="A32" s="32"/>
      <c r="B32" s="33"/>
      <c r="C32" s="34"/>
      <c r="D32" s="33"/>
      <c r="E32" s="34" t="str">
        <f t="shared" si="0"/>
        <v/>
      </c>
      <c r="F32" s="35" t="str">
        <f t="shared" si="1"/>
        <v/>
      </c>
      <c r="G32" s="33"/>
      <c r="H32" s="33"/>
      <c r="I32" s="32"/>
      <c r="J32" s="33"/>
      <c r="K32" s="33"/>
      <c r="L32" s="33"/>
      <c r="M32" s="33" t="str">
        <f t="shared" si="2"/>
        <v/>
      </c>
      <c r="N32" s="35" t="str">
        <f t="shared" si="3"/>
        <v/>
      </c>
      <c r="O32" s="33"/>
      <c r="P32" s="33"/>
    </row>
    <row r="33" spans="1:16" s="8" customFormat="1" ht="29.25" customHeight="1">
      <c r="A33" s="32"/>
      <c r="B33" s="33"/>
      <c r="C33" s="34"/>
      <c r="D33" s="33"/>
      <c r="E33" s="34" t="str">
        <f t="shared" si="0"/>
        <v/>
      </c>
      <c r="F33" s="35" t="str">
        <f t="shared" si="1"/>
        <v/>
      </c>
      <c r="G33" s="33"/>
      <c r="H33" s="33"/>
      <c r="I33" s="32"/>
      <c r="J33" s="33"/>
      <c r="K33" s="33"/>
      <c r="L33" s="33"/>
      <c r="M33" s="33" t="str">
        <f t="shared" si="2"/>
        <v/>
      </c>
      <c r="N33" s="35" t="str">
        <f t="shared" si="3"/>
        <v/>
      </c>
      <c r="O33" s="33"/>
      <c r="P33" s="33"/>
    </row>
    <row r="34" spans="1:16" s="8" customFormat="1" ht="29.25" customHeight="1">
      <c r="A34" s="32"/>
      <c r="B34" s="33"/>
      <c r="C34" s="34"/>
      <c r="D34" s="33"/>
      <c r="E34" s="34" t="str">
        <f t="shared" si="0"/>
        <v/>
      </c>
      <c r="F34" s="35" t="str">
        <f t="shared" si="1"/>
        <v/>
      </c>
      <c r="G34" s="33"/>
      <c r="H34" s="33"/>
      <c r="I34" s="32"/>
      <c r="J34" s="33"/>
      <c r="K34" s="33"/>
      <c r="L34" s="33"/>
      <c r="M34" s="33" t="str">
        <f t="shared" si="2"/>
        <v/>
      </c>
      <c r="N34" s="35" t="str">
        <f t="shared" si="3"/>
        <v/>
      </c>
      <c r="O34" s="33"/>
      <c r="P34" s="33"/>
    </row>
    <row r="35" spans="1:16" s="8" customFormat="1" ht="29.25" customHeight="1">
      <c r="A35" s="32"/>
      <c r="B35" s="33"/>
      <c r="C35" s="34"/>
      <c r="D35" s="33"/>
      <c r="E35" s="34" t="str">
        <f t="shared" si="0"/>
        <v/>
      </c>
      <c r="F35" s="35" t="str">
        <f t="shared" si="1"/>
        <v/>
      </c>
      <c r="G35" s="33"/>
      <c r="H35" s="33"/>
      <c r="I35" s="32"/>
      <c r="J35" s="33"/>
      <c r="K35" s="33"/>
      <c r="L35" s="33"/>
      <c r="M35" s="33" t="str">
        <f t="shared" si="2"/>
        <v/>
      </c>
      <c r="N35" s="35" t="str">
        <f t="shared" si="3"/>
        <v/>
      </c>
      <c r="O35" s="33"/>
      <c r="P35" s="33"/>
    </row>
    <row r="36" spans="1:16" s="8" customFormat="1" ht="29.25" customHeight="1">
      <c r="A36" s="32"/>
      <c r="B36" s="33"/>
      <c r="C36" s="34"/>
      <c r="D36" s="33"/>
      <c r="E36" s="34" t="str">
        <f t="shared" si="0"/>
        <v/>
      </c>
      <c r="F36" s="35" t="str">
        <f t="shared" si="1"/>
        <v/>
      </c>
      <c r="G36" s="33"/>
      <c r="H36" s="33"/>
      <c r="I36" s="32"/>
      <c r="J36" s="33"/>
      <c r="K36" s="33"/>
      <c r="L36" s="33"/>
      <c r="M36" s="33" t="str">
        <f t="shared" si="2"/>
        <v/>
      </c>
      <c r="N36" s="35" t="str">
        <f t="shared" si="3"/>
        <v/>
      </c>
      <c r="O36" s="33"/>
      <c r="P36" s="33"/>
    </row>
    <row r="37" spans="1:16" s="8" customFormat="1" ht="29.25" customHeight="1" thickBot="1">
      <c r="A37" s="32"/>
      <c r="B37" s="33"/>
      <c r="C37" s="34"/>
      <c r="D37" s="33"/>
      <c r="E37" s="34" t="str">
        <f t="shared" si="0"/>
        <v/>
      </c>
      <c r="F37" s="35" t="str">
        <f t="shared" si="1"/>
        <v/>
      </c>
      <c r="G37" s="33"/>
      <c r="H37" s="33"/>
      <c r="I37" s="32"/>
      <c r="J37" s="33"/>
      <c r="K37" s="33"/>
      <c r="L37" s="33"/>
      <c r="M37" s="33" t="str">
        <f t="shared" si="2"/>
        <v/>
      </c>
      <c r="N37" s="35" t="str">
        <f t="shared" si="3"/>
        <v/>
      </c>
      <c r="O37" s="33"/>
      <c r="P37" s="33"/>
    </row>
    <row r="38" spans="1:16" s="8" customFormat="1" ht="30" customHeight="1" thickTop="1">
      <c r="A38" s="38"/>
      <c r="B38" s="39"/>
      <c r="C38" s="40"/>
      <c r="D38" s="40"/>
      <c r="E38" s="40" t="s">
        <v>84</v>
      </c>
      <c r="F38" s="40"/>
      <c r="G38" s="40" t="s">
        <v>85</v>
      </c>
      <c r="H38" s="40"/>
      <c r="I38" s="40"/>
      <c r="J38" s="40"/>
      <c r="K38" s="40"/>
      <c r="L38" s="40"/>
      <c r="M38" s="40" t="s">
        <v>84</v>
      </c>
      <c r="N38" s="40"/>
      <c r="O38" s="40" t="s">
        <v>86</v>
      </c>
      <c r="P38" s="40"/>
    </row>
    <row r="39" spans="1:16" s="8" customFormat="1" ht="30" customHeight="1">
      <c r="C39" s="41"/>
      <c r="D39" s="41"/>
      <c r="E39" s="41" t="s">
        <v>87</v>
      </c>
      <c r="F39" s="41"/>
      <c r="G39" s="41" t="s">
        <v>88</v>
      </c>
      <c r="H39" s="41"/>
      <c r="I39" s="41"/>
      <c r="J39" s="41"/>
      <c r="K39" s="41"/>
      <c r="L39" s="41"/>
      <c r="M39" s="41" t="s">
        <v>87</v>
      </c>
      <c r="N39" s="41"/>
      <c r="O39" s="41" t="s">
        <v>89</v>
      </c>
      <c r="P39" s="41"/>
    </row>
  </sheetData>
  <mergeCells count="20">
    <mergeCell ref="O38:P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38:N38"/>
    <mergeCell ref="B1:C1"/>
    <mergeCell ref="J1:K1"/>
    <mergeCell ref="B4:G4"/>
    <mergeCell ref="J4:O4"/>
    <mergeCell ref="G6:H6"/>
    <mergeCell ref="O6:P6"/>
  </mergeCells>
  <phoneticPr fontId="3" type="noConversion"/>
  <pageMargins left="0.6875" right="0.70866141732283472" top="1.7322834645669292" bottom="0.91666666666666663" header="0.78740157480314965" footer="0.59055118110236227"/>
  <pageSetup paperSize="9" scale="50" orientation="portrait" r:id="rId1"/>
  <headerFooter>
    <oddHeader>&amp;L&amp;G&amp;C&amp;"KBIZ한마음고딕 B,굵게"&amp;48&amp;K00-046총질소 시험기록부</oddHeader>
    <oddFooter>&amp;C&amp;"KBIZ한마음고딕 B,굵게"&amp;48&amp;K00-048리뉴어스주식회사-수질분석센터</oddFooter>
  </headerFooter>
  <colBreaks count="1" manualBreakCount="1">
    <brk id="8" max="38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TN</vt:lpstr>
      <vt:lpstr>TN!Print_Area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정승욱</dc:creator>
  <cp:lastModifiedBy>정승욱</cp:lastModifiedBy>
  <dcterms:created xsi:type="dcterms:W3CDTF">2026-04-04T22:41:08Z</dcterms:created>
  <dcterms:modified xsi:type="dcterms:W3CDTF">2026-04-04T22:41:30Z</dcterms:modified>
</cp:coreProperties>
</file>