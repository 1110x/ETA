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onu\Documents\ETA\Data\Templates\"/>
    </mc:Choice>
  </mc:AlternateContent>
  <xr:revisionPtr revIDLastSave="0" documentId="13_ncr:1_{8A1701E2-15D8-46EB-A86B-C089D0E4E475}" xr6:coauthVersionLast="47" xr6:coauthVersionMax="47" xr10:uidLastSave="{00000000-0000-0000-0000-000000000000}"/>
  <bookViews>
    <workbookView xWindow="-48120" yWindow="-30" windowWidth="19440" windowHeight="15150" xr2:uid="{821C8C17-116D-4C1D-8C58-13B51C07233F}"/>
  </bookViews>
  <sheets>
    <sheet name="거래명세서" sheetId="1" r:id="rId1"/>
  </sheets>
  <definedNames>
    <definedName name="LISTUP">#REF!</definedName>
    <definedName name="_xlnm.Print_Area" localSheetId="0">거래명세서!$A$1:$T$45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3" i="1" l="1"/>
  <c r="J42" i="1"/>
  <c r="J41" i="1"/>
  <c r="J40" i="1"/>
  <c r="T39" i="1"/>
  <c r="J39" i="1"/>
  <c r="T38" i="1"/>
  <c r="J38" i="1"/>
  <c r="T37" i="1"/>
  <c r="J37" i="1"/>
  <c r="T36" i="1"/>
  <c r="J36" i="1"/>
  <c r="T35" i="1"/>
  <c r="J35" i="1"/>
  <c r="T34" i="1"/>
  <c r="J34" i="1"/>
  <c r="T33" i="1"/>
  <c r="J33" i="1"/>
  <c r="T32" i="1"/>
  <c r="J32" i="1"/>
  <c r="T31" i="1"/>
  <c r="J31" i="1"/>
  <c r="T30" i="1"/>
  <c r="J30" i="1"/>
  <c r="T29" i="1"/>
  <c r="J29" i="1"/>
  <c r="T28" i="1"/>
  <c r="J28" i="1"/>
  <c r="T27" i="1"/>
  <c r="J27" i="1"/>
  <c r="T26" i="1"/>
  <c r="J26" i="1"/>
  <c r="T25" i="1"/>
  <c r="J25" i="1"/>
  <c r="T24" i="1"/>
  <c r="J24" i="1"/>
  <c r="T23" i="1"/>
  <c r="J23" i="1"/>
  <c r="T22" i="1"/>
  <c r="J22" i="1"/>
  <c r="T21" i="1"/>
  <c r="J21" i="1"/>
  <c r="T20" i="1"/>
  <c r="J20" i="1"/>
  <c r="T19" i="1"/>
  <c r="J19" i="1"/>
  <c r="T18" i="1"/>
  <c r="J18" i="1"/>
  <c r="T17" i="1"/>
  <c r="J17" i="1"/>
  <c r="T16" i="1"/>
  <c r="J16" i="1"/>
  <c r="T15" i="1"/>
  <c r="J15" i="1"/>
  <c r="T14" i="1"/>
  <c r="J14" i="1"/>
  <c r="T13" i="1"/>
  <c r="J13" i="1"/>
  <c r="T12" i="1"/>
  <c r="J12" i="1"/>
  <c r="T11" i="1"/>
  <c r="J11" i="1"/>
  <c r="T10" i="1"/>
  <c r="T9" i="1"/>
  <c r="T8" i="1"/>
  <c r="T7" i="1"/>
  <c r="T6" i="1"/>
  <c r="T5" i="1"/>
  <c r="T4" i="1"/>
  <c r="R40" i="1" s="1"/>
</calcChain>
</file>

<file path=xl/sharedStrings.xml><?xml version="1.0" encoding="utf-8"?>
<sst xmlns="http://schemas.openxmlformats.org/spreadsheetml/2006/main" count="93" uniqueCount="64">
  <si>
    <t xml:space="preserve">거래명세서 </t>
    <phoneticPr fontId="3" type="noConversion"/>
  </si>
  <si>
    <t>PAGE 2/2</t>
    <phoneticPr fontId="3" type="noConversion"/>
  </si>
  <si>
    <t>업체명</t>
  </si>
  <si>
    <t>거래명세서번호</t>
    <phoneticPr fontId="3" type="noConversion"/>
  </si>
  <si>
    <t>번호</t>
  </si>
  <si>
    <t>항목 구분</t>
  </si>
  <si>
    <t>시험 항목</t>
  </si>
  <si>
    <t>적용 시험방법</t>
  </si>
  <si>
    <t>수량</t>
  </si>
  <si>
    <t>단가</t>
  </si>
  <si>
    <t>소계금액(원)</t>
  </si>
  <si>
    <t>대표자</t>
  </si>
  <si>
    <t>발행일자</t>
    <phoneticPr fontId="3" type="noConversion"/>
  </si>
  <si>
    <t>견적요청담당자</t>
  </si>
  <si>
    <t>사업자등록번호</t>
  </si>
  <si>
    <t>339-81-01041</t>
  </si>
  <si>
    <t>담당자연락처</t>
  </si>
  <si>
    <t>거래명세담당자</t>
    <phoneticPr fontId="3" type="noConversion"/>
  </si>
  <si>
    <t>담당자 E-Mail</t>
  </si>
  <si>
    <t>parknoon@renewus.co.kr</t>
    <phoneticPr fontId="3" type="noConversion"/>
  </si>
  <si>
    <t>시료명</t>
  </si>
  <si>
    <t xml:space="preserve">대표이사 김정택 </t>
    <phoneticPr fontId="3" type="noConversion"/>
  </si>
  <si>
    <t>PAGE 1/2</t>
    <phoneticPr fontId="3" type="noConversion"/>
  </si>
  <si>
    <t>일반항목</t>
  </si>
  <si>
    <t>노말헥산 추출물질</t>
  </si>
  <si>
    <t>ES 04302.1b</t>
  </si>
  <si>
    <t>노말헥산 추출물질(광유류)</t>
  </si>
  <si>
    <t>노말헥산추출물질(동·식물 유지류)</t>
  </si>
  <si>
    <t>부유물질</t>
  </si>
  <si>
    <t>ES 04303.1c</t>
  </si>
  <si>
    <t>색도</t>
  </si>
  <si>
    <t>ES 04304.1d</t>
  </si>
  <si>
    <t>생물화학적 산소요구량</t>
  </si>
  <si>
    <t>ES 04305.1c</t>
  </si>
  <si>
    <t>수소이온농도</t>
  </si>
  <si>
    <t>ES 04306.1d</t>
  </si>
  <si>
    <t>온도</t>
  </si>
  <si>
    <t>ES 04307.1c</t>
  </si>
  <si>
    <t>전기전도도</t>
  </si>
  <si>
    <t>ES 04310.1e</t>
  </si>
  <si>
    <t>총 유기탄소</t>
  </si>
  <si>
    <t>ES 04311.1d</t>
  </si>
  <si>
    <t>화학적 산소요구량</t>
  </si>
  <si>
    <t>ES 04315.1b/2b</t>
  </si>
  <si>
    <t>이온류</t>
  </si>
  <si>
    <t>시안</t>
  </si>
  <si>
    <t>ES 04353.1e</t>
  </si>
  <si>
    <t>음이온계면활성제</t>
  </si>
  <si>
    <t>ES 04359.1d</t>
  </si>
  <si>
    <t>총인</t>
  </si>
  <si>
    <t>ES 04362.1c</t>
  </si>
  <si>
    <t>총질소</t>
  </si>
  <si>
    <t>ES 04363.1a</t>
  </si>
  <si>
    <t>퍼클로레이트</t>
  </si>
  <si>
    <t>ES 04364.2b</t>
  </si>
  <si>
    <t>페놀류</t>
  </si>
  <si>
    <t>ES 04365.1d</t>
  </si>
  <si>
    <t>불소화합물</t>
  </si>
  <si>
    <t>ES 04351.1b</t>
  </si>
  <si>
    <t>염소이온</t>
  </si>
  <si>
    <t>ES 04356.3d</t>
  </si>
  <si>
    <t>황산이온</t>
  </si>
  <si>
    <t>ES 04366.1b</t>
  </si>
  <si>
    <t>리뉴어스-수질분석센터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</si>
</sst>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&quot;renewus&quot;\-\ @"/>
    <numFmt numFmtId="177" formatCode="&quot;합계 (VAT 별도) :&quot;\ #,###\ &quot;원&quot;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8"/>
      <color theme="0"/>
      <name val="KBIZ한마음고딕 M"/>
      <family val="1"/>
      <charset val="129"/>
    </font>
    <font>
      <sz val="8"/>
      <name val="맑은 고딕"/>
      <family val="2"/>
      <charset val="129"/>
      <scheme val="minor"/>
    </font>
    <font>
      <sz val="11"/>
      <color rgb="FF808080"/>
      <name val="KBIZ한마음고딕 M"/>
      <family val="1"/>
      <charset val="129"/>
    </font>
    <font>
      <sz val="11"/>
      <color theme="1"/>
      <name val="KBIZ한마음고딕 M"/>
      <family val="1"/>
      <charset val="129"/>
    </font>
    <font>
      <sz val="18"/>
      <color theme="1"/>
      <name val="KBIZ한마음고딕 M"/>
      <family val="1"/>
      <charset val="129"/>
    </font>
    <font>
      <sz val="28"/>
      <color theme="1"/>
      <name val="KBIZ한마음고딕 M"/>
      <family val="1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KBIZ한마음고딕 M"/>
      <family val="1"/>
      <charset val="129"/>
    </font>
    <font>
      <sz val="9"/>
      <color theme="1"/>
      <name val="KBIZ한마음고딕 M"/>
      <family val="1"/>
      <charset val="129"/>
    </font>
    <font>
      <u/>
      <sz val="11"/>
      <color theme="10"/>
      <name val="맑은 고딕"/>
      <family val="2"/>
      <charset val="129"/>
      <scheme val="minor"/>
    </font>
    <font>
      <sz val="11"/>
      <name val="KBIZ한마음고딕 M"/>
      <family val="1"/>
      <charset val="129"/>
    </font>
    <font>
      <sz val="12"/>
      <name val="KBIZ한마음고딕 M"/>
      <family val="1"/>
      <charset val="129"/>
    </font>
    <font>
      <sz val="11"/>
      <color rgb="FFFFFFFF"/>
      <name val="KBIZ한마음고딕 M"/>
      <family val="1"/>
      <charset val="129"/>
    </font>
    <font>
      <i/>
      <sz val="14"/>
      <color theme="1"/>
      <name val="KBIZ한마음고딕 M"/>
      <family val="1"/>
      <charset val="129"/>
    </font>
    <font>
      <sz val="48"/>
      <color theme="0" tint="-0.499984740745262"/>
      <name val="휴먼엑스포"/>
      <family val="1"/>
      <charset val="129"/>
    </font>
    <font>
      <i/>
      <sz val="14"/>
      <color rgb="FF000000"/>
      <name val="KBIZ한마음고딕 M"/>
      <family val="1"/>
      <charset val="129"/>
    </font>
    <font>
      <sz val="48"/>
      <color rgb="FF808080"/>
      <name val="휴먼엑스포"/>
      <family val="1"/>
      <charset val="129"/>
    </font>
    <font>
      <sz val="48"/>
      <color theme="0"/>
      <name val="휴먼엑스포"/>
      <family val="1"/>
      <charset val="129"/>
    </font>
  </fonts>
  <fills count="4">
    <fill>
      <patternFill patternType="none"/>
    </fill>
    <fill>
      <patternFill patternType="gray125"/>
    </fill>
    <fill>
      <gradientFill degree="180">
        <stop position="0">
          <color theme="0"/>
        </stop>
        <stop position="1">
          <color rgb="FF304CC2"/>
        </stop>
      </gradient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0"/>
      </top>
      <bottom style="double">
        <color theme="0"/>
      </bottom>
      <diagonal/>
    </border>
    <border>
      <left/>
      <right/>
      <top style="double">
        <color theme="0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double">
        <color indexed="64"/>
      </top>
      <bottom/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5" fillId="0" borderId="0" xfId="1" applyNumberFormat="1" applyFont="1" applyBorder="1" applyAlignment="1" applyProtection="1">
      <alignment horizontal="center" vertical="center"/>
      <protection locked="0"/>
    </xf>
    <xf numFmtId="41" fontId="5" fillId="0" borderId="0" xfId="1" applyFont="1" applyBorder="1" applyAlignment="1" applyProtection="1">
      <alignment horizontal="center" vertical="center"/>
      <protection locked="0"/>
    </xf>
    <xf numFmtId="41" fontId="5" fillId="0" borderId="0" xfId="1" applyFont="1" applyBorder="1" applyAlignment="1" applyProtection="1">
      <alignment horizontal="right" vertical="center" indent="1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3" fontId="5" fillId="0" borderId="0" xfId="1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vertical="center" indent="1"/>
      <protection locked="0"/>
    </xf>
    <xf numFmtId="0" fontId="5" fillId="0" borderId="0" xfId="0" applyFont="1" applyProtection="1">
      <alignment vertical="center"/>
      <protection locked="0"/>
    </xf>
    <xf numFmtId="0" fontId="10" fillId="3" borderId="0" xfId="0" applyFont="1" applyFill="1" applyAlignment="1">
      <alignment horizontal="center" vertical="center"/>
    </xf>
    <xf numFmtId="0" fontId="5" fillId="0" borderId="0" xfId="0" quotePrefix="1" applyFont="1" applyAlignment="1" applyProtection="1">
      <alignment horizontal="left" vertical="center" indent="1"/>
      <protection locked="0"/>
    </xf>
    <xf numFmtId="0" fontId="14" fillId="0" borderId="0" xfId="0" applyFont="1" applyProtection="1">
      <alignment vertical="center"/>
      <protection locked="0"/>
    </xf>
    <xf numFmtId="0" fontId="5" fillId="0" borderId="0" xfId="0" applyFont="1" applyAlignment="1" applyProtection="1">
      <alignment horizontal="distributed" vertical="center" indent="1"/>
      <protection locked="0"/>
    </xf>
    <xf numFmtId="3" fontId="0" fillId="0" borderId="0" xfId="0" applyNumberFormat="1">
      <alignment vertical="center"/>
    </xf>
    <xf numFmtId="41" fontId="5" fillId="0" borderId="0" xfId="1" applyFont="1" applyFill="1" applyBorder="1" applyAlignment="1" applyProtection="1">
      <alignment horizontal="center" vertical="center"/>
      <protection locked="0"/>
    </xf>
    <xf numFmtId="177" fontId="15" fillId="0" borderId="4" xfId="0" applyNumberFormat="1" applyFont="1" applyBorder="1" applyAlignment="1" applyProtection="1">
      <alignment vertical="top"/>
      <protection locked="0"/>
    </xf>
    <xf numFmtId="177" fontId="17" fillId="0" borderId="4" xfId="0" applyNumberFormat="1" applyFont="1" applyBorder="1" applyAlignment="1" applyProtection="1">
      <alignment vertical="top"/>
      <protection locked="0"/>
    </xf>
    <xf numFmtId="177" fontId="15" fillId="0" borderId="0" xfId="0" applyNumberFormat="1" applyFont="1" applyAlignment="1">
      <alignment horizontal="right" vertical="top" indent="1"/>
    </xf>
    <xf numFmtId="0" fontId="5" fillId="0" borderId="0" xfId="0" applyFont="1" applyAlignment="1" applyProtection="1">
      <alignment horizontal="distributed" vertical="center" indent="1"/>
      <protection locked="0"/>
    </xf>
    <xf numFmtId="0" fontId="5" fillId="0" borderId="0" xfId="0" applyFont="1" applyAlignment="1" applyProtection="1">
      <alignment horizontal="left" vertical="center" indent="2"/>
      <protection locked="0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77" fontId="17" fillId="0" borderId="4" xfId="0" applyNumberFormat="1" applyFont="1" applyBorder="1" applyAlignment="1" applyProtection="1">
      <alignment horizontal="center" vertical="top" wrapText="1"/>
      <protection locked="0"/>
    </xf>
    <xf numFmtId="177" fontId="15" fillId="0" borderId="4" xfId="0" applyNumberFormat="1" applyFont="1" applyBorder="1" applyAlignment="1" applyProtection="1">
      <alignment horizontal="center" vertical="top" wrapText="1"/>
      <protection locked="0"/>
    </xf>
    <xf numFmtId="0" fontId="16" fillId="0" borderId="0" xfId="0" applyFont="1" applyAlignment="1">
      <alignment horizontal="center"/>
    </xf>
    <xf numFmtId="0" fontId="5" fillId="0" borderId="0" xfId="0" applyFont="1" applyAlignment="1" applyProtection="1">
      <alignment horizontal="distributed" vertical="center" indent="1" shrinkToFit="1"/>
      <protection locked="0"/>
    </xf>
    <xf numFmtId="0" fontId="5" fillId="0" borderId="0" xfId="0" quotePrefix="1" applyFont="1" applyAlignment="1" applyProtection="1">
      <alignment horizontal="left" vertical="center" indent="2"/>
      <protection locked="0"/>
    </xf>
    <xf numFmtId="0" fontId="5" fillId="0" borderId="2" xfId="0" applyFont="1" applyBorder="1" applyAlignment="1" applyProtection="1">
      <alignment horizontal="left" vertical="center" indent="2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5" fillId="0" borderId="0" xfId="0" quotePrefix="1" applyFont="1" applyAlignment="1" applyProtection="1">
      <alignment horizontal="center" vertical="center" wrapText="1" shrinkToFit="1"/>
      <protection locked="0"/>
    </xf>
    <xf numFmtId="0" fontId="5" fillId="0" borderId="3" xfId="0" quotePrefix="1" applyFont="1" applyBorder="1" applyAlignment="1" applyProtection="1">
      <alignment horizontal="center" vertical="center" wrapText="1" shrinkToFit="1"/>
      <protection locked="0"/>
    </xf>
    <xf numFmtId="0" fontId="12" fillId="0" borderId="0" xfId="2" quotePrefix="1" applyFont="1" applyProtection="1">
      <alignment vertical="center"/>
      <protection locked="0"/>
    </xf>
    <xf numFmtId="0" fontId="13" fillId="0" borderId="0" xfId="0" quotePrefix="1" applyFont="1" applyProtection="1">
      <alignment vertical="center"/>
      <protection locked="0"/>
    </xf>
    <xf numFmtId="0" fontId="5" fillId="0" borderId="0" xfId="0" applyFont="1" applyProtection="1">
      <alignment vertical="center"/>
      <protection locked="0"/>
    </xf>
    <xf numFmtId="14" fontId="5" fillId="0" borderId="0" xfId="0" applyNumberFormat="1" applyFont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distributed" vertical="center" indent="1"/>
      <protection locked="0"/>
    </xf>
    <xf numFmtId="0" fontId="5" fillId="0" borderId="2" xfId="0" applyFont="1" applyBorder="1" applyAlignment="1" applyProtection="1">
      <alignment horizontal="distributed" vertical="center" wrapText="1" indent="1"/>
      <protection locked="0"/>
    </xf>
    <xf numFmtId="176" fontId="5" fillId="0" borderId="0" xfId="0" applyNumberFormat="1" applyFont="1" applyAlignment="1" applyProtection="1">
      <alignment horizontal="left" vertical="center" indent="1"/>
      <protection locked="0"/>
    </xf>
    <xf numFmtId="0" fontId="2" fillId="2" borderId="0" xfId="0" applyFont="1" applyFill="1" applyAlignment="1" applyProtection="1">
      <alignment horizontal="left" vertical="center" indent="1"/>
      <protection locked="0"/>
    </xf>
    <xf numFmtId="0" fontId="4" fillId="0" borderId="0" xfId="0" applyFont="1" applyAlignment="1" applyProtection="1">
      <alignment horizontal="left" vertical="center" indent="1"/>
      <protection locked="0"/>
    </xf>
    <xf numFmtId="0" fontId="5" fillId="0" borderId="0" xfId="0" applyFont="1" applyAlignment="1" applyProtection="1">
      <alignment horizontal="left" vertical="center" indent="1"/>
      <protection locked="0"/>
    </xf>
  </cellXfs>
  <cellStyles count="3">
    <cellStyle name="쉼표 [0] 5" xfId="1" xr:uid="{BA537FE2-EDB9-4E13-B7DE-1AEC86BB0B4D}"/>
    <cellStyle name="표준" xfId="0" builtinId="0"/>
    <cellStyle name="하이퍼링크" xfId="2" builtinId="8"/>
  </cellStyles>
  <dxfs count="12"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  <dxf>
      <numFmt numFmtId="178" formatCode="\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219075</xdr:colOff>
      <xdr:row>3</xdr:row>
      <xdr:rowOff>295275</xdr:rowOff>
    </xdr:from>
    <xdr:to>
      <xdr:col>21</xdr:col>
      <xdr:colOff>333374</xdr:colOff>
      <xdr:row>4</xdr:row>
      <xdr:rowOff>238125</xdr:rowOff>
    </xdr:to>
    <xdr:sp macro="" textlink="">
      <xdr:nvSpPr>
        <xdr:cNvPr id="2" name="CommandButton1" hidden="1">
          <a:extLst>
            <a:ext uri="{63B3BB69-23CF-44E3-9099-C40C66FF867C}">
              <a14:compatExt xmlns:a14="http://schemas.microsoft.com/office/drawing/2010/main" spid="_x0000_s38917"/>
            </a:ext>
            <a:ext uri="{FF2B5EF4-FFF2-40B4-BE49-F238E27FC236}">
              <a16:creationId xmlns:a16="http://schemas.microsoft.com/office/drawing/2014/main" id="{29B5224A-10F9-4DB3-BE31-D16F765A7C95}"/>
            </a:ext>
          </a:extLst>
        </xdr:cNvPr>
        <xdr:cNvSpPr/>
      </xdr:nvSpPr>
      <xdr:spPr bwMode="auto">
        <a:xfrm>
          <a:off x="19992975" y="1152525"/>
          <a:ext cx="942974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8</xdr:col>
      <xdr:colOff>122464</xdr:colOff>
      <xdr:row>6</xdr:row>
      <xdr:rowOff>316423</xdr:rowOff>
    </xdr:from>
    <xdr:to>
      <xdr:col>8</xdr:col>
      <xdr:colOff>519779</xdr:colOff>
      <xdr:row>7</xdr:row>
      <xdr:rowOff>330653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CEF4D86-4E5E-4FB8-8485-538C4E56A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 flipV="1">
          <a:off x="7609114" y="2173798"/>
          <a:ext cx="397315" cy="347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A6E6D-702A-4F7D-9E20-E8CE16C7D5F7}">
  <sheetPr codeName="Sheet12">
    <tabColor theme="5" tint="0.59999389629810485"/>
  </sheetPr>
  <dimension ref="A1:W67"/>
  <sheetViews>
    <sheetView tabSelected="1" view="pageBreakPreview" zoomScale="70" zoomScaleNormal="70" zoomScaleSheetLayoutView="70" workbookViewId="0">
      <selection activeCell="U50" sqref="A50:U51"/>
    </sheetView>
  </sheetViews>
  <sheetFormatPr defaultColWidth="10.875" defaultRowHeight="18.75" customHeight="1" outlineLevelCol="1" x14ac:dyDescent="0.3"/>
  <cols>
    <col min="1" max="1" width="8" customWidth="1"/>
    <col min="2" max="4" width="12.75" customWidth="1"/>
    <col min="5" max="5" width="18.5" customWidth="1"/>
    <col min="6" max="6" width="8" customWidth="1"/>
    <col min="7" max="8" width="12.75" customWidth="1"/>
    <col min="9" max="9" width="14" customWidth="1"/>
    <col min="10" max="10" width="17.5" customWidth="1"/>
    <col min="11" max="11" width="8" customWidth="1" outlineLevel="1"/>
    <col min="12" max="14" width="12.75" customWidth="1" outlineLevel="1"/>
    <col min="15" max="15" width="18.5" customWidth="1" outlineLevel="1"/>
    <col min="16" max="16" width="8" customWidth="1" outlineLevel="1"/>
    <col min="17" max="18" width="12.75" customWidth="1" outlineLevel="1"/>
    <col min="19" max="19" width="14" customWidth="1" outlineLevel="1"/>
    <col min="20" max="20" width="17.5" customWidth="1" outlineLevel="1"/>
    <col min="22" max="22" width="18.375" bestFit="1" customWidth="1"/>
    <col min="23" max="23" width="14.625" bestFit="1" customWidth="1"/>
    <col min="24" max="24" width="15.875" customWidth="1"/>
  </cols>
  <sheetData>
    <row r="1" spans="1:22" s="5" customFormat="1" ht="33.75" customHeight="1" x14ac:dyDescent="0.3">
      <c r="A1" s="41" t="s">
        <v>0</v>
      </c>
      <c r="B1" s="41"/>
      <c r="C1" s="41"/>
      <c r="D1" s="41"/>
      <c r="E1" s="41"/>
      <c r="F1" s="41"/>
      <c r="G1" s="41"/>
      <c r="H1" s="41"/>
      <c r="I1" s="41"/>
      <c r="J1" s="41"/>
      <c r="K1" s="42" t="s">
        <v>1</v>
      </c>
      <c r="L1" s="43"/>
      <c r="M1" s="43"/>
      <c r="N1" s="21"/>
      <c r="O1" s="21"/>
      <c r="P1" s="22"/>
      <c r="Q1" s="22"/>
      <c r="R1" s="1"/>
      <c r="S1" s="2"/>
      <c r="T1" s="3"/>
      <c r="U1" s="4"/>
    </row>
    <row r="2" spans="1:22" ht="7.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21"/>
      <c r="M2" s="21"/>
      <c r="N2" s="21"/>
      <c r="O2" s="21"/>
      <c r="P2" s="22"/>
      <c r="Q2" s="22"/>
      <c r="R2" s="1"/>
      <c r="S2" s="2"/>
      <c r="T2" s="3"/>
    </row>
    <row r="3" spans="1:22" ht="26.25" customHeight="1" thickBot="1" x14ac:dyDescent="0.35">
      <c r="A3" s="21" t="s">
        <v>2</v>
      </c>
      <c r="B3" s="21"/>
      <c r="C3" s="36"/>
      <c r="D3" s="36"/>
      <c r="E3" s="36"/>
      <c r="F3" s="21" t="s">
        <v>3</v>
      </c>
      <c r="G3" s="21"/>
      <c r="H3" s="40"/>
      <c r="I3" s="40"/>
      <c r="J3" s="40"/>
      <c r="K3" s="8" t="s">
        <v>4</v>
      </c>
      <c r="L3" s="31" t="s">
        <v>5</v>
      </c>
      <c r="M3" s="31"/>
      <c r="N3" s="31" t="s">
        <v>6</v>
      </c>
      <c r="O3" s="31"/>
      <c r="P3" s="31" t="s">
        <v>7</v>
      </c>
      <c r="Q3" s="31"/>
      <c r="R3" s="8" t="s">
        <v>8</v>
      </c>
      <c r="S3" s="8" t="s">
        <v>9</v>
      </c>
      <c r="T3" s="8" t="s">
        <v>10</v>
      </c>
      <c r="U3" s="5"/>
    </row>
    <row r="4" spans="1:22" ht="26.25" customHeight="1" thickTop="1" x14ac:dyDescent="0.3">
      <c r="A4" s="21" t="s">
        <v>11</v>
      </c>
      <c r="B4" s="21"/>
      <c r="C4" s="36"/>
      <c r="D4" s="36"/>
      <c r="E4" s="36"/>
      <c r="F4" s="21" t="s">
        <v>12</v>
      </c>
      <c r="G4" s="21"/>
      <c r="H4" s="37"/>
      <c r="I4" s="37"/>
      <c r="J4" s="37"/>
      <c r="K4" s="7"/>
      <c r="L4" s="38"/>
      <c r="M4" s="38"/>
      <c r="N4" s="39"/>
      <c r="O4" s="39"/>
      <c r="P4" s="22"/>
      <c r="Q4" s="22"/>
      <c r="R4" s="9"/>
      <c r="S4" s="2"/>
      <c r="T4" s="3">
        <f t="shared" ref="T4:T39" si="0">IFERROR(R4*S4,"")</f>
        <v>0</v>
      </c>
    </row>
    <row r="5" spans="1:22" ht="26.25" customHeight="1" x14ac:dyDescent="0.3">
      <c r="A5" s="21" t="s">
        <v>13</v>
      </c>
      <c r="B5" s="21"/>
      <c r="C5" s="36"/>
      <c r="D5" s="36"/>
      <c r="E5" s="36"/>
      <c r="F5" s="21" t="s">
        <v>14</v>
      </c>
      <c r="G5" s="21"/>
      <c r="H5" s="10" t="s">
        <v>15</v>
      </c>
      <c r="I5" s="10"/>
      <c r="J5" s="10"/>
      <c r="K5" s="7"/>
      <c r="L5" s="21"/>
      <c r="M5" s="21"/>
      <c r="N5" s="21"/>
      <c r="O5" s="21"/>
      <c r="P5" s="22"/>
      <c r="Q5" s="22"/>
      <c r="R5" s="9"/>
      <c r="S5" s="2"/>
      <c r="T5" s="3">
        <f t="shared" si="0"/>
        <v>0</v>
      </c>
    </row>
    <row r="6" spans="1:22" ht="26.25" customHeight="1" x14ac:dyDescent="0.3">
      <c r="A6" s="21" t="s">
        <v>16</v>
      </c>
      <c r="B6" s="21"/>
      <c r="C6" s="36"/>
      <c r="D6" s="36"/>
      <c r="E6" s="36"/>
      <c r="F6" s="21" t="s">
        <v>17</v>
      </c>
      <c r="G6" s="21"/>
      <c r="H6" s="10"/>
      <c r="I6" s="11"/>
      <c r="J6" s="11"/>
      <c r="K6" s="7"/>
      <c r="L6" s="21"/>
      <c r="M6" s="21"/>
      <c r="N6" s="21"/>
      <c r="O6" s="21"/>
      <c r="P6" s="22"/>
      <c r="Q6" s="22"/>
      <c r="R6" s="9"/>
      <c r="S6" s="2"/>
      <c r="T6" s="3">
        <f t="shared" si="0"/>
        <v>0</v>
      </c>
      <c r="V6" s="12"/>
    </row>
    <row r="7" spans="1:22" ht="26.25" customHeight="1" x14ac:dyDescent="0.3">
      <c r="A7" s="21" t="s">
        <v>18</v>
      </c>
      <c r="B7" s="21"/>
      <c r="C7" s="34"/>
      <c r="D7" s="35"/>
      <c r="E7" s="35"/>
      <c r="F7" s="21" t="s">
        <v>18</v>
      </c>
      <c r="G7" s="21"/>
      <c r="H7" s="13" t="s">
        <v>19</v>
      </c>
      <c r="I7" s="11"/>
      <c r="J7" s="11"/>
      <c r="K7" s="7"/>
      <c r="L7" s="21"/>
      <c r="M7" s="21"/>
      <c r="N7" s="21"/>
      <c r="O7" s="21"/>
      <c r="P7" s="22"/>
      <c r="Q7" s="22"/>
      <c r="R7" s="9"/>
      <c r="S7" s="2"/>
      <c r="T7" s="3">
        <f t="shared" si="0"/>
        <v>0</v>
      </c>
    </row>
    <row r="8" spans="1:22" ht="26.25" customHeight="1" x14ac:dyDescent="0.3">
      <c r="A8" s="21" t="s">
        <v>20</v>
      </c>
      <c r="B8" s="21"/>
      <c r="C8" s="32"/>
      <c r="D8" s="32"/>
      <c r="E8" s="32"/>
      <c r="F8" s="21" t="s">
        <v>11</v>
      </c>
      <c r="G8" s="21"/>
      <c r="H8" s="13" t="s">
        <v>21</v>
      </c>
      <c r="I8" s="11"/>
      <c r="J8" s="11"/>
      <c r="K8" s="7"/>
      <c r="L8" s="21"/>
      <c r="M8" s="21"/>
      <c r="N8" s="21"/>
      <c r="O8" s="21"/>
      <c r="P8" s="22"/>
      <c r="Q8" s="22"/>
      <c r="R8" s="9"/>
      <c r="S8" s="2"/>
      <c r="T8" s="3">
        <f t="shared" si="0"/>
        <v>0</v>
      </c>
      <c r="U8" s="12"/>
    </row>
    <row r="9" spans="1:22" ht="26.25" customHeight="1" x14ac:dyDescent="0.3">
      <c r="A9" s="14" t="s">
        <v>22</v>
      </c>
      <c r="B9" s="11"/>
      <c r="C9" s="33"/>
      <c r="D9" s="33"/>
      <c r="E9" s="33"/>
      <c r="F9" s="15"/>
      <c r="G9" s="15"/>
      <c r="H9" s="13"/>
      <c r="I9" s="11"/>
      <c r="J9" s="11"/>
      <c r="K9" s="7"/>
      <c r="L9" s="21"/>
      <c r="M9" s="21"/>
      <c r="N9" s="21"/>
      <c r="O9" s="21"/>
      <c r="P9" s="22"/>
      <c r="Q9" s="22"/>
      <c r="R9" s="9"/>
      <c r="S9" s="2"/>
      <c r="T9" s="3">
        <f t="shared" si="0"/>
        <v>0</v>
      </c>
    </row>
    <row r="10" spans="1:22" ht="26.25" customHeight="1" thickBot="1" x14ac:dyDescent="0.35">
      <c r="A10" s="8" t="s">
        <v>4</v>
      </c>
      <c r="B10" s="31" t="s">
        <v>5</v>
      </c>
      <c r="C10" s="31"/>
      <c r="D10" s="31" t="s">
        <v>6</v>
      </c>
      <c r="E10" s="31"/>
      <c r="F10" s="31" t="s">
        <v>7</v>
      </c>
      <c r="G10" s="31"/>
      <c r="H10" s="8" t="s">
        <v>8</v>
      </c>
      <c r="I10" s="8" t="s">
        <v>9</v>
      </c>
      <c r="J10" s="8" t="s">
        <v>10</v>
      </c>
      <c r="K10" s="7"/>
      <c r="L10" s="21"/>
      <c r="M10" s="21"/>
      <c r="N10" s="21"/>
      <c r="O10" s="21"/>
      <c r="P10" s="22"/>
      <c r="Q10" s="22"/>
      <c r="R10" s="9"/>
      <c r="S10" s="2"/>
      <c r="T10" s="3">
        <f t="shared" si="0"/>
        <v>0</v>
      </c>
    </row>
    <row r="11" spans="1:22" ht="26.25" customHeight="1" thickTop="1" x14ac:dyDescent="0.3">
      <c r="A11" s="7">
        <v>1</v>
      </c>
      <c r="B11" s="21" t="s">
        <v>23</v>
      </c>
      <c r="C11" s="21"/>
      <c r="D11" s="21" t="s">
        <v>24</v>
      </c>
      <c r="E11" s="21"/>
      <c r="F11" s="30" t="s">
        <v>25</v>
      </c>
      <c r="G11" s="30"/>
      <c r="H11" s="9">
        <v>1</v>
      </c>
      <c r="I11" s="2">
        <v>13600</v>
      </c>
      <c r="J11" s="3">
        <f>IFERROR(H11*I11,"")</f>
        <v>13600</v>
      </c>
      <c r="K11" s="7"/>
      <c r="L11" s="21"/>
      <c r="M11" s="21"/>
      <c r="N11" s="21"/>
      <c r="O11" s="21"/>
      <c r="P11" s="22"/>
      <c r="Q11" s="22"/>
      <c r="R11" s="9"/>
      <c r="S11" s="2"/>
      <c r="T11" s="3">
        <f>IFERROR(R11*S11,"")</f>
        <v>0</v>
      </c>
    </row>
    <row r="12" spans="1:22" ht="26.25" customHeight="1" x14ac:dyDescent="0.3">
      <c r="A12" s="7">
        <v>2</v>
      </c>
      <c r="B12" s="21" t="s">
        <v>23</v>
      </c>
      <c r="C12" s="21"/>
      <c r="D12" s="21" t="s">
        <v>26</v>
      </c>
      <c r="E12" s="21"/>
      <c r="F12" s="22" t="s">
        <v>25</v>
      </c>
      <c r="G12" s="22"/>
      <c r="H12" s="9">
        <v>1</v>
      </c>
      <c r="I12" s="3">
        <v>13600</v>
      </c>
      <c r="J12" s="3">
        <f>IFERROR(H12*I12,"")</f>
        <v>13600</v>
      </c>
      <c r="K12" s="7"/>
      <c r="L12" s="21"/>
      <c r="M12" s="21"/>
      <c r="N12" s="21"/>
      <c r="O12" s="21"/>
      <c r="P12" s="22"/>
      <c r="Q12" s="22"/>
      <c r="R12" s="9"/>
      <c r="S12" s="2"/>
      <c r="T12" s="3">
        <f t="shared" si="0"/>
        <v>0</v>
      </c>
    </row>
    <row r="13" spans="1:22" ht="26.25" customHeight="1" x14ac:dyDescent="0.3">
      <c r="A13" s="7">
        <v>3</v>
      </c>
      <c r="B13" s="21" t="s">
        <v>23</v>
      </c>
      <c r="C13" s="21"/>
      <c r="D13" s="21" t="s">
        <v>27</v>
      </c>
      <c r="E13" s="21"/>
      <c r="F13" s="22" t="s">
        <v>25</v>
      </c>
      <c r="G13" s="22"/>
      <c r="H13" s="9">
        <v>1</v>
      </c>
      <c r="I13" s="3">
        <v>13600</v>
      </c>
      <c r="J13" s="3">
        <f>IFERROR(H13*I13,"")</f>
        <v>13600</v>
      </c>
      <c r="K13" s="7"/>
      <c r="L13" s="21"/>
      <c r="M13" s="21"/>
      <c r="N13" s="21"/>
      <c r="O13" s="21"/>
      <c r="P13" s="22"/>
      <c r="Q13" s="22"/>
      <c r="R13" s="9"/>
      <c r="S13" s="2"/>
      <c r="T13" s="3">
        <f t="shared" si="0"/>
        <v>0</v>
      </c>
    </row>
    <row r="14" spans="1:22" ht="26.25" customHeight="1" x14ac:dyDescent="0.3">
      <c r="A14" s="7">
        <v>4</v>
      </c>
      <c r="B14" s="21" t="s">
        <v>23</v>
      </c>
      <c r="C14" s="21"/>
      <c r="D14" s="21" t="s">
        <v>28</v>
      </c>
      <c r="E14" s="21"/>
      <c r="F14" s="22" t="s">
        <v>29</v>
      </c>
      <c r="G14" s="22"/>
      <c r="H14" s="9">
        <v>1</v>
      </c>
      <c r="I14" s="2">
        <v>5600</v>
      </c>
      <c r="J14" s="3">
        <f t="shared" ref="J14:J43" si="1">IFERROR(H14*I14,"")</f>
        <v>5600</v>
      </c>
      <c r="K14" s="7"/>
      <c r="L14" s="21"/>
      <c r="M14" s="21"/>
      <c r="N14" s="21"/>
      <c r="O14" s="21"/>
      <c r="P14" s="22"/>
      <c r="Q14" s="22"/>
      <c r="R14" s="9"/>
      <c r="S14" s="2"/>
      <c r="T14" s="3">
        <f t="shared" si="0"/>
        <v>0</v>
      </c>
    </row>
    <row r="15" spans="1:22" ht="26.25" customHeight="1" x14ac:dyDescent="0.3">
      <c r="A15" s="7">
        <v>5</v>
      </c>
      <c r="B15" s="21" t="s">
        <v>23</v>
      </c>
      <c r="C15" s="21"/>
      <c r="D15" s="21" t="s">
        <v>30</v>
      </c>
      <c r="E15" s="21"/>
      <c r="F15" s="22" t="s">
        <v>31</v>
      </c>
      <c r="G15" s="22"/>
      <c r="H15" s="9">
        <v>1</v>
      </c>
      <c r="I15" s="2">
        <v>5600</v>
      </c>
      <c r="J15" s="3">
        <f t="shared" si="1"/>
        <v>5600</v>
      </c>
      <c r="K15" s="7"/>
      <c r="L15" s="21"/>
      <c r="M15" s="21"/>
      <c r="N15" s="21"/>
      <c r="O15" s="21"/>
      <c r="P15" s="22"/>
      <c r="Q15" s="22"/>
      <c r="R15" s="9"/>
      <c r="S15" s="2"/>
      <c r="T15" s="3">
        <f t="shared" si="0"/>
        <v>0</v>
      </c>
    </row>
    <row r="16" spans="1:22" ht="26.25" customHeight="1" x14ac:dyDescent="0.3">
      <c r="A16" s="7">
        <v>6</v>
      </c>
      <c r="B16" s="21" t="s">
        <v>23</v>
      </c>
      <c r="C16" s="21"/>
      <c r="D16" s="21" t="s">
        <v>32</v>
      </c>
      <c r="E16" s="21"/>
      <c r="F16" s="29" t="s">
        <v>33</v>
      </c>
      <c r="G16" s="22"/>
      <c r="H16" s="9">
        <v>1</v>
      </c>
      <c r="I16" s="2">
        <v>17600</v>
      </c>
      <c r="J16" s="3">
        <f t="shared" si="1"/>
        <v>17600</v>
      </c>
      <c r="K16" s="7"/>
      <c r="L16" s="21"/>
      <c r="M16" s="21"/>
      <c r="N16" s="21"/>
      <c r="O16" s="21"/>
      <c r="P16" s="22"/>
      <c r="Q16" s="22"/>
      <c r="R16" s="9"/>
      <c r="S16" s="2"/>
      <c r="T16" s="3">
        <f t="shared" si="0"/>
        <v>0</v>
      </c>
    </row>
    <row r="17" spans="1:23" ht="26.25" customHeight="1" x14ac:dyDescent="0.3">
      <c r="A17" s="7">
        <v>7</v>
      </c>
      <c r="B17" s="21" t="s">
        <v>23</v>
      </c>
      <c r="C17" s="21"/>
      <c r="D17" s="21" t="s">
        <v>34</v>
      </c>
      <c r="E17" s="21"/>
      <c r="F17" s="22" t="s">
        <v>35</v>
      </c>
      <c r="G17" s="22"/>
      <c r="H17" s="9">
        <v>1</v>
      </c>
      <c r="I17" s="2">
        <v>3200</v>
      </c>
      <c r="J17" s="3">
        <f t="shared" si="1"/>
        <v>3200</v>
      </c>
      <c r="K17" s="7"/>
      <c r="L17" s="21"/>
      <c r="M17" s="21"/>
      <c r="N17" s="21"/>
      <c r="O17" s="21"/>
      <c r="P17" s="22"/>
      <c r="Q17" s="22"/>
      <c r="R17" s="9"/>
      <c r="S17" s="2"/>
      <c r="T17" s="3">
        <f t="shared" si="0"/>
        <v>0</v>
      </c>
    </row>
    <row r="18" spans="1:23" ht="26.25" customHeight="1" x14ac:dyDescent="0.3">
      <c r="A18" s="7">
        <v>8</v>
      </c>
      <c r="B18" s="21" t="s">
        <v>23</v>
      </c>
      <c r="C18" s="21"/>
      <c r="D18" s="21" t="s">
        <v>36</v>
      </c>
      <c r="E18" s="21"/>
      <c r="F18" s="22" t="s">
        <v>37</v>
      </c>
      <c r="G18" s="22"/>
      <c r="H18" s="9">
        <v>1</v>
      </c>
      <c r="I18" s="2">
        <v>0</v>
      </c>
      <c r="J18" s="3">
        <f t="shared" si="1"/>
        <v>0</v>
      </c>
      <c r="K18" s="7"/>
      <c r="L18" s="21"/>
      <c r="M18" s="21"/>
      <c r="N18" s="21"/>
      <c r="O18" s="21"/>
      <c r="P18" s="22"/>
      <c r="Q18" s="22"/>
      <c r="R18" s="9"/>
      <c r="S18" s="2"/>
      <c r="T18" s="3">
        <f t="shared" si="0"/>
        <v>0</v>
      </c>
    </row>
    <row r="19" spans="1:23" ht="26.25" customHeight="1" x14ac:dyDescent="0.3">
      <c r="A19" s="7">
        <v>9</v>
      </c>
      <c r="B19" s="21" t="s">
        <v>23</v>
      </c>
      <c r="C19" s="21"/>
      <c r="D19" s="21" t="s">
        <v>38</v>
      </c>
      <c r="E19" s="21"/>
      <c r="F19" s="22" t="s">
        <v>39</v>
      </c>
      <c r="G19" s="22"/>
      <c r="H19" s="9">
        <v>1</v>
      </c>
      <c r="I19" s="2">
        <v>0</v>
      </c>
      <c r="J19" s="3">
        <f t="shared" si="1"/>
        <v>0</v>
      </c>
      <c r="K19" s="7"/>
      <c r="L19" s="21"/>
      <c r="M19" s="21"/>
      <c r="N19" s="21"/>
      <c r="O19" s="21"/>
      <c r="P19" s="22"/>
      <c r="Q19" s="22"/>
      <c r="R19" s="9"/>
      <c r="S19" s="2"/>
      <c r="T19" s="3">
        <f t="shared" si="0"/>
        <v>0</v>
      </c>
    </row>
    <row r="20" spans="1:23" ht="26.25" customHeight="1" x14ac:dyDescent="0.3">
      <c r="A20" s="7">
        <v>10</v>
      </c>
      <c r="B20" s="21" t="s">
        <v>23</v>
      </c>
      <c r="C20" s="21"/>
      <c r="D20" s="21" t="s">
        <v>40</v>
      </c>
      <c r="E20" s="21"/>
      <c r="F20" s="22" t="s">
        <v>41</v>
      </c>
      <c r="G20" s="22"/>
      <c r="H20" s="9">
        <v>1</v>
      </c>
      <c r="I20" s="2">
        <v>20800</v>
      </c>
      <c r="J20" s="3">
        <f t="shared" si="1"/>
        <v>20800</v>
      </c>
      <c r="K20" s="7"/>
      <c r="L20" s="21"/>
      <c r="M20" s="21"/>
      <c r="N20" s="21"/>
      <c r="O20" s="21"/>
      <c r="P20" s="22"/>
      <c r="Q20" s="22"/>
      <c r="R20" s="9"/>
      <c r="S20" s="2"/>
      <c r="T20" s="3">
        <f t="shared" si="0"/>
        <v>0</v>
      </c>
    </row>
    <row r="21" spans="1:23" ht="26.25" customHeight="1" x14ac:dyDescent="0.3">
      <c r="A21" s="7">
        <v>11</v>
      </c>
      <c r="B21" s="21" t="s">
        <v>23</v>
      </c>
      <c r="C21" s="21"/>
      <c r="D21" s="21" t="s">
        <v>42</v>
      </c>
      <c r="E21" s="21"/>
      <c r="F21" s="22" t="s">
        <v>43</v>
      </c>
      <c r="G21" s="22"/>
      <c r="H21" s="9">
        <v>1</v>
      </c>
      <c r="I21" s="2">
        <v>12000</v>
      </c>
      <c r="J21" s="3">
        <f>IFERROR(H21*I21,"")</f>
        <v>12000</v>
      </c>
      <c r="K21" s="7"/>
      <c r="L21" s="21"/>
      <c r="M21" s="21"/>
      <c r="N21" s="21"/>
      <c r="O21" s="21"/>
      <c r="P21" s="22"/>
      <c r="Q21" s="22"/>
      <c r="R21" s="9"/>
      <c r="S21" s="2"/>
      <c r="T21" s="3">
        <f t="shared" si="0"/>
        <v>0</v>
      </c>
    </row>
    <row r="22" spans="1:23" ht="26.25" customHeight="1" x14ac:dyDescent="0.3">
      <c r="A22" s="7">
        <v>12</v>
      </c>
      <c r="B22" s="21" t="s">
        <v>44</v>
      </c>
      <c r="C22" s="21"/>
      <c r="D22" s="21" t="s">
        <v>45</v>
      </c>
      <c r="E22" s="21"/>
      <c r="F22" s="22" t="s">
        <v>46</v>
      </c>
      <c r="G22" s="22"/>
      <c r="H22" s="9">
        <v>1</v>
      </c>
      <c r="I22" s="2">
        <v>14400</v>
      </c>
      <c r="J22" s="3">
        <f t="shared" si="1"/>
        <v>14400</v>
      </c>
      <c r="K22" s="7"/>
      <c r="L22" s="21"/>
      <c r="M22" s="21"/>
      <c r="N22" s="21"/>
      <c r="O22" s="21"/>
      <c r="P22" s="22"/>
      <c r="Q22" s="22"/>
      <c r="R22" s="9"/>
      <c r="S22" s="2"/>
      <c r="T22" s="3">
        <f t="shared" si="0"/>
        <v>0</v>
      </c>
    </row>
    <row r="23" spans="1:23" ht="26.25" customHeight="1" x14ac:dyDescent="0.3">
      <c r="A23" s="7">
        <v>13</v>
      </c>
      <c r="B23" s="21" t="s">
        <v>44</v>
      </c>
      <c r="C23" s="21"/>
      <c r="D23" s="21" t="s">
        <v>47</v>
      </c>
      <c r="E23" s="21"/>
      <c r="F23" s="22" t="s">
        <v>48</v>
      </c>
      <c r="G23" s="22"/>
      <c r="H23" s="9">
        <v>1</v>
      </c>
      <c r="I23" s="2">
        <v>17600</v>
      </c>
      <c r="J23" s="3">
        <f t="shared" si="1"/>
        <v>17600</v>
      </c>
      <c r="K23" s="7"/>
      <c r="L23" s="21"/>
      <c r="M23" s="21"/>
      <c r="N23" s="21"/>
      <c r="O23" s="21"/>
      <c r="P23" s="22"/>
      <c r="Q23" s="22"/>
      <c r="R23" s="9"/>
      <c r="S23" s="2"/>
      <c r="T23" s="3">
        <f t="shared" si="0"/>
        <v>0</v>
      </c>
    </row>
    <row r="24" spans="1:23" ht="26.25" customHeight="1" x14ac:dyDescent="0.3">
      <c r="A24" s="7">
        <v>14</v>
      </c>
      <c r="B24" s="21" t="s">
        <v>44</v>
      </c>
      <c r="C24" s="21"/>
      <c r="D24" s="21" t="s">
        <v>49</v>
      </c>
      <c r="E24" s="21"/>
      <c r="F24" s="22" t="s">
        <v>50</v>
      </c>
      <c r="G24" s="22"/>
      <c r="H24" s="9">
        <v>1</v>
      </c>
      <c r="I24" s="2">
        <v>7200</v>
      </c>
      <c r="J24" s="3">
        <f t="shared" si="1"/>
        <v>7200</v>
      </c>
      <c r="K24" s="7"/>
      <c r="L24" s="21"/>
      <c r="M24" s="21"/>
      <c r="N24" s="28"/>
      <c r="O24" s="28"/>
      <c r="P24" s="22"/>
      <c r="Q24" s="22"/>
      <c r="R24" s="9"/>
      <c r="S24" s="2"/>
      <c r="T24" s="3">
        <f t="shared" si="0"/>
        <v>0</v>
      </c>
      <c r="W24" s="16"/>
    </row>
    <row r="25" spans="1:23" ht="26.25" customHeight="1" x14ac:dyDescent="0.3">
      <c r="A25" s="7">
        <v>15</v>
      </c>
      <c r="B25" s="21" t="s">
        <v>44</v>
      </c>
      <c r="C25" s="21"/>
      <c r="D25" s="21" t="s">
        <v>51</v>
      </c>
      <c r="E25" s="21"/>
      <c r="F25" s="22" t="s">
        <v>52</v>
      </c>
      <c r="G25" s="22"/>
      <c r="H25" s="9">
        <v>1</v>
      </c>
      <c r="I25" s="2">
        <v>6400</v>
      </c>
      <c r="J25" s="3">
        <f t="shared" si="1"/>
        <v>6400</v>
      </c>
      <c r="K25" s="7"/>
      <c r="L25" s="21"/>
      <c r="M25" s="21"/>
      <c r="N25" s="21"/>
      <c r="O25" s="21"/>
      <c r="P25" s="22"/>
      <c r="Q25" s="22"/>
      <c r="R25" s="9"/>
      <c r="S25" s="2"/>
      <c r="T25" s="3">
        <f t="shared" si="0"/>
        <v>0</v>
      </c>
    </row>
    <row r="26" spans="1:23" ht="26.25" customHeight="1" x14ac:dyDescent="0.3">
      <c r="A26" s="7">
        <v>16</v>
      </c>
      <c r="B26" s="21" t="s">
        <v>44</v>
      </c>
      <c r="C26" s="21"/>
      <c r="D26" s="21" t="s">
        <v>53</v>
      </c>
      <c r="E26" s="21"/>
      <c r="F26" s="22" t="s">
        <v>54</v>
      </c>
      <c r="G26" s="22"/>
      <c r="H26" s="9">
        <v>1</v>
      </c>
      <c r="I26" s="2">
        <v>17600</v>
      </c>
      <c r="J26" s="3">
        <f>IFERROR(H26*I26,"")</f>
        <v>17600</v>
      </c>
      <c r="K26" s="7"/>
      <c r="L26" s="21"/>
      <c r="M26" s="21"/>
      <c r="N26" s="21"/>
      <c r="O26" s="21"/>
      <c r="P26" s="22"/>
      <c r="Q26" s="22"/>
      <c r="R26" s="9"/>
      <c r="S26" s="2"/>
      <c r="T26" s="3">
        <f t="shared" si="0"/>
        <v>0</v>
      </c>
    </row>
    <row r="27" spans="1:23" ht="26.25" customHeight="1" x14ac:dyDescent="0.3">
      <c r="A27" s="7">
        <v>17</v>
      </c>
      <c r="B27" s="21" t="s">
        <v>44</v>
      </c>
      <c r="C27" s="21"/>
      <c r="D27" s="21" t="s">
        <v>55</v>
      </c>
      <c r="E27" s="21"/>
      <c r="F27" s="22" t="s">
        <v>56</v>
      </c>
      <c r="G27" s="22"/>
      <c r="H27" s="9">
        <v>1</v>
      </c>
      <c r="I27" s="2">
        <v>14400</v>
      </c>
      <c r="J27" s="3">
        <f>IFERROR(H27*I27,"")</f>
        <v>14400</v>
      </c>
      <c r="K27" s="7"/>
      <c r="L27" s="21"/>
      <c r="M27" s="21"/>
      <c r="N27" s="21"/>
      <c r="O27" s="21"/>
      <c r="P27" s="22"/>
      <c r="Q27" s="22"/>
      <c r="R27" s="9"/>
      <c r="S27" s="2"/>
      <c r="T27" s="3">
        <f t="shared" si="0"/>
        <v>0</v>
      </c>
    </row>
    <row r="28" spans="1:23" ht="26.25" customHeight="1" x14ac:dyDescent="0.3">
      <c r="A28" s="7">
        <v>18</v>
      </c>
      <c r="B28" s="21" t="s">
        <v>44</v>
      </c>
      <c r="C28" s="21"/>
      <c r="D28" s="21" t="s">
        <v>57</v>
      </c>
      <c r="E28" s="21"/>
      <c r="F28" s="22" t="s">
        <v>58</v>
      </c>
      <c r="G28" s="22"/>
      <c r="H28" s="9">
        <v>1</v>
      </c>
      <c r="I28" s="2">
        <v>13600</v>
      </c>
      <c r="J28" s="3">
        <f>IFERROR(H28*I28,"")</f>
        <v>13600</v>
      </c>
      <c r="K28" s="7"/>
      <c r="L28" s="21"/>
      <c r="M28" s="21"/>
      <c r="N28" s="21"/>
      <c r="O28" s="21"/>
      <c r="P28" s="22"/>
      <c r="Q28" s="22"/>
      <c r="R28" s="9"/>
      <c r="S28" s="2"/>
      <c r="T28" s="3">
        <f t="shared" si="0"/>
        <v>0</v>
      </c>
    </row>
    <row r="29" spans="1:23" ht="26.25" customHeight="1" x14ac:dyDescent="0.3">
      <c r="A29" s="7">
        <v>19</v>
      </c>
      <c r="B29" s="21" t="s">
        <v>44</v>
      </c>
      <c r="C29" s="21"/>
      <c r="D29" s="21" t="s">
        <v>59</v>
      </c>
      <c r="E29" s="21"/>
      <c r="F29" s="22" t="s">
        <v>60</v>
      </c>
      <c r="G29" s="22"/>
      <c r="H29" s="9">
        <v>1</v>
      </c>
      <c r="I29" s="2">
        <v>15200</v>
      </c>
      <c r="J29" s="3">
        <f t="shared" si="1"/>
        <v>15200</v>
      </c>
      <c r="K29" s="7"/>
      <c r="L29" s="21"/>
      <c r="M29" s="21"/>
      <c r="N29" s="21"/>
      <c r="O29" s="21"/>
      <c r="P29" s="22"/>
      <c r="Q29" s="22"/>
      <c r="R29" s="9"/>
      <c r="S29" s="2"/>
      <c r="T29" s="3">
        <f t="shared" si="0"/>
        <v>0</v>
      </c>
    </row>
    <row r="30" spans="1:23" ht="26.25" customHeight="1" x14ac:dyDescent="0.3">
      <c r="A30" s="7">
        <v>20</v>
      </c>
      <c r="B30" s="21" t="s">
        <v>44</v>
      </c>
      <c r="C30" s="21"/>
      <c r="D30" s="21" t="s">
        <v>61</v>
      </c>
      <c r="E30" s="21"/>
      <c r="F30" s="22" t="s">
        <v>62</v>
      </c>
      <c r="G30" s="22"/>
      <c r="H30" s="9">
        <v>1</v>
      </c>
      <c r="I30" s="2">
        <v>17600</v>
      </c>
      <c r="J30" s="3">
        <f t="shared" si="1"/>
        <v>17600</v>
      </c>
      <c r="K30" s="7"/>
      <c r="L30" s="21"/>
      <c r="M30" s="21"/>
      <c r="N30" s="21"/>
      <c r="O30" s="21"/>
      <c r="P30" s="22"/>
      <c r="Q30" s="22"/>
      <c r="R30" s="9"/>
      <c r="S30" s="2"/>
      <c r="T30" s="3">
        <f t="shared" si="0"/>
        <v>0</v>
      </c>
    </row>
    <row r="31" spans="1:23" ht="26.25" customHeight="1" x14ac:dyDescent="0.3">
      <c r="A31" s="7"/>
      <c r="B31" s="21"/>
      <c r="C31" s="21"/>
      <c r="D31" s="21"/>
      <c r="E31" s="21"/>
      <c r="F31" s="22"/>
      <c r="G31" s="22"/>
      <c r="H31" s="9"/>
      <c r="I31" s="17"/>
      <c r="J31" s="3">
        <f t="shared" si="1"/>
        <v>0</v>
      </c>
      <c r="K31" s="7"/>
      <c r="L31" s="21"/>
      <c r="M31" s="21"/>
      <c r="N31" s="21"/>
      <c r="O31" s="21"/>
      <c r="P31" s="22"/>
      <c r="Q31" s="22"/>
      <c r="R31" s="9"/>
      <c r="S31" s="2"/>
      <c r="T31" s="3">
        <f t="shared" si="0"/>
        <v>0</v>
      </c>
      <c r="W31" s="16"/>
    </row>
    <row r="32" spans="1:23" ht="26.25" customHeight="1" x14ac:dyDescent="0.3">
      <c r="A32" s="7"/>
      <c r="B32" s="21"/>
      <c r="C32" s="21"/>
      <c r="D32" s="21"/>
      <c r="E32" s="21"/>
      <c r="F32" s="22"/>
      <c r="G32" s="22"/>
      <c r="H32" s="9"/>
      <c r="I32" s="2"/>
      <c r="J32" s="3">
        <f t="shared" si="1"/>
        <v>0</v>
      </c>
      <c r="K32" s="7"/>
      <c r="L32" s="21"/>
      <c r="M32" s="21"/>
      <c r="N32" s="21"/>
      <c r="O32" s="21"/>
      <c r="P32" s="22"/>
      <c r="Q32" s="22"/>
      <c r="R32" s="9"/>
      <c r="S32" s="2"/>
      <c r="T32" s="3">
        <f t="shared" si="0"/>
        <v>0</v>
      </c>
    </row>
    <row r="33" spans="1:20" ht="26.25" customHeight="1" x14ac:dyDescent="0.3">
      <c r="A33" s="7"/>
      <c r="B33" s="21"/>
      <c r="C33" s="21"/>
      <c r="D33" s="21"/>
      <c r="E33" s="21"/>
      <c r="F33" s="22"/>
      <c r="G33" s="22"/>
      <c r="H33" s="9"/>
      <c r="I33" s="2"/>
      <c r="J33" s="3">
        <f t="shared" si="1"/>
        <v>0</v>
      </c>
      <c r="K33" s="7"/>
      <c r="L33" s="21"/>
      <c r="M33" s="21"/>
      <c r="N33" s="21"/>
      <c r="O33" s="21"/>
      <c r="P33" s="22"/>
      <c r="Q33" s="22"/>
      <c r="R33" s="9"/>
      <c r="S33" s="2"/>
      <c r="T33" s="3">
        <f t="shared" si="0"/>
        <v>0</v>
      </c>
    </row>
    <row r="34" spans="1:20" ht="26.25" customHeight="1" x14ac:dyDescent="0.3">
      <c r="A34" s="7"/>
      <c r="B34" s="21"/>
      <c r="C34" s="21"/>
      <c r="D34" s="21"/>
      <c r="E34" s="21"/>
      <c r="F34" s="22"/>
      <c r="G34" s="22"/>
      <c r="H34" s="9"/>
      <c r="I34" s="2"/>
      <c r="J34" s="3">
        <f t="shared" si="1"/>
        <v>0</v>
      </c>
      <c r="K34" s="7"/>
      <c r="L34" s="21"/>
      <c r="M34" s="21"/>
      <c r="N34" s="21"/>
      <c r="O34" s="21"/>
      <c r="P34" s="22"/>
      <c r="Q34" s="22"/>
      <c r="R34" s="9"/>
      <c r="S34" s="2"/>
      <c r="T34" s="3">
        <f t="shared" si="0"/>
        <v>0</v>
      </c>
    </row>
    <row r="35" spans="1:20" ht="26.25" customHeight="1" x14ac:dyDescent="0.3">
      <c r="A35" s="7"/>
      <c r="B35" s="21"/>
      <c r="C35" s="21"/>
      <c r="D35" s="21"/>
      <c r="E35" s="21"/>
      <c r="F35" s="22"/>
      <c r="G35" s="22"/>
      <c r="H35" s="9"/>
      <c r="I35" s="2"/>
      <c r="J35" s="3">
        <f t="shared" si="1"/>
        <v>0</v>
      </c>
      <c r="K35" s="7"/>
      <c r="L35" s="21"/>
      <c r="M35" s="21"/>
      <c r="N35" s="21"/>
      <c r="O35" s="21"/>
      <c r="P35" s="22"/>
      <c r="Q35" s="22"/>
      <c r="R35" s="9"/>
      <c r="S35" s="2"/>
      <c r="T35" s="3">
        <f t="shared" si="0"/>
        <v>0</v>
      </c>
    </row>
    <row r="36" spans="1:20" ht="26.25" customHeight="1" x14ac:dyDescent="0.3">
      <c r="A36" s="7"/>
      <c r="B36" s="21"/>
      <c r="C36" s="21"/>
      <c r="D36" s="21"/>
      <c r="E36" s="21"/>
      <c r="F36" s="22"/>
      <c r="G36" s="22"/>
      <c r="H36" s="9"/>
      <c r="I36" s="2"/>
      <c r="J36" s="3">
        <f t="shared" si="1"/>
        <v>0</v>
      </c>
      <c r="K36" s="7"/>
      <c r="L36" s="21"/>
      <c r="M36" s="21"/>
      <c r="N36" s="21"/>
      <c r="O36" s="21"/>
      <c r="P36" s="22"/>
      <c r="Q36" s="22"/>
      <c r="R36" s="9"/>
      <c r="S36" s="2"/>
      <c r="T36" s="3">
        <f t="shared" si="0"/>
        <v>0</v>
      </c>
    </row>
    <row r="37" spans="1:20" ht="26.25" customHeight="1" x14ac:dyDescent="0.3">
      <c r="A37" s="7"/>
      <c r="B37" s="21"/>
      <c r="C37" s="21"/>
      <c r="D37" s="21"/>
      <c r="E37" s="21"/>
      <c r="F37" s="22"/>
      <c r="G37" s="22"/>
      <c r="H37" s="9"/>
      <c r="I37" s="2"/>
      <c r="J37" s="3">
        <f t="shared" si="1"/>
        <v>0</v>
      </c>
      <c r="K37" s="7"/>
      <c r="L37" s="21"/>
      <c r="M37" s="21"/>
      <c r="N37" s="21"/>
      <c r="O37" s="21"/>
      <c r="P37" s="22"/>
      <c r="Q37" s="22"/>
      <c r="R37" s="1"/>
      <c r="S37" s="2"/>
      <c r="T37" s="3">
        <f t="shared" si="0"/>
        <v>0</v>
      </c>
    </row>
    <row r="38" spans="1:20" ht="26.25" customHeight="1" x14ac:dyDescent="0.3">
      <c r="A38" s="7"/>
      <c r="B38" s="21"/>
      <c r="C38" s="21"/>
      <c r="D38" s="21"/>
      <c r="E38" s="21"/>
      <c r="F38" s="22"/>
      <c r="G38" s="22"/>
      <c r="H38" s="9"/>
      <c r="I38" s="2"/>
      <c r="J38" s="3">
        <f t="shared" si="1"/>
        <v>0</v>
      </c>
      <c r="K38" s="7"/>
      <c r="L38" s="21"/>
      <c r="M38" s="21"/>
      <c r="N38" s="21"/>
      <c r="O38" s="21"/>
      <c r="P38" s="22"/>
      <c r="Q38" s="22"/>
      <c r="R38" s="1"/>
      <c r="S38" s="2"/>
      <c r="T38" s="3">
        <f t="shared" si="0"/>
        <v>0</v>
      </c>
    </row>
    <row r="39" spans="1:20" ht="26.25" customHeight="1" thickBot="1" x14ac:dyDescent="0.35">
      <c r="A39" s="7"/>
      <c r="B39" s="21"/>
      <c r="C39" s="21"/>
      <c r="D39" s="21"/>
      <c r="E39" s="21"/>
      <c r="F39" s="22"/>
      <c r="G39" s="22"/>
      <c r="H39" s="9"/>
      <c r="I39" s="2"/>
      <c r="J39" s="3">
        <f t="shared" si="1"/>
        <v>0</v>
      </c>
      <c r="K39" s="7"/>
      <c r="L39" s="21"/>
      <c r="M39" s="21"/>
      <c r="N39" s="21"/>
      <c r="O39" s="21"/>
      <c r="P39" s="22"/>
      <c r="Q39" s="22"/>
      <c r="R39" s="1"/>
      <c r="S39" s="2"/>
      <c r="T39" s="3">
        <f t="shared" si="0"/>
        <v>0</v>
      </c>
    </row>
    <row r="40" spans="1:20" ht="26.25" customHeight="1" thickTop="1" x14ac:dyDescent="0.3">
      <c r="A40" s="7"/>
      <c r="B40" s="21"/>
      <c r="C40" s="21"/>
      <c r="D40" s="21"/>
      <c r="E40" s="21"/>
      <c r="F40" s="22"/>
      <c r="G40" s="22"/>
      <c r="H40" s="9"/>
      <c r="I40" s="2"/>
      <c r="J40" s="3">
        <f t="shared" si="1"/>
        <v>0</v>
      </c>
      <c r="K40" s="18"/>
      <c r="L40" s="18"/>
      <c r="M40" s="18"/>
      <c r="N40" s="18"/>
      <c r="O40" s="18"/>
      <c r="P40" s="18"/>
      <c r="Q40" s="18"/>
      <c r="R40" s="26">
        <f>SUM(T4:T39,J11:J43)</f>
        <v>229600</v>
      </c>
      <c r="S40" s="26"/>
      <c r="T40" s="26"/>
    </row>
    <row r="41" spans="1:20" ht="26.25" customHeight="1" x14ac:dyDescent="0.3">
      <c r="A41" s="7"/>
      <c r="B41" s="21"/>
      <c r="C41" s="21"/>
      <c r="D41" s="21"/>
      <c r="E41" s="21"/>
      <c r="F41" s="22"/>
      <c r="G41" s="22"/>
      <c r="H41" s="9"/>
      <c r="I41" s="2"/>
      <c r="J41" s="3">
        <f t="shared" si="1"/>
        <v>0</v>
      </c>
      <c r="K41" s="27" t="s">
        <v>63</v>
      </c>
      <c r="L41" s="27"/>
      <c r="M41" s="27"/>
      <c r="N41" s="27"/>
      <c r="O41" s="27"/>
      <c r="P41" s="27"/>
      <c r="Q41" s="27"/>
      <c r="R41" s="27"/>
      <c r="S41" s="27"/>
      <c r="T41" s="27"/>
    </row>
    <row r="42" spans="1:20" ht="26.25" customHeight="1" x14ac:dyDescent="0.3">
      <c r="A42" s="7"/>
      <c r="B42" s="21"/>
      <c r="C42" s="21"/>
      <c r="D42" s="21"/>
      <c r="E42" s="21"/>
      <c r="F42" s="22"/>
      <c r="G42" s="22"/>
      <c r="H42" s="9"/>
      <c r="I42" s="2"/>
      <c r="J42" s="3">
        <f t="shared" si="1"/>
        <v>0</v>
      </c>
      <c r="K42" s="27"/>
      <c r="L42" s="27"/>
      <c r="M42" s="27"/>
      <c r="N42" s="27"/>
      <c r="O42" s="27"/>
      <c r="P42" s="27"/>
      <c r="Q42" s="27"/>
      <c r="R42" s="27"/>
      <c r="S42" s="27"/>
      <c r="T42" s="27"/>
    </row>
    <row r="43" spans="1:20" ht="26.25" customHeight="1" thickBot="1" x14ac:dyDescent="0.35">
      <c r="A43" s="7"/>
      <c r="B43" s="21"/>
      <c r="C43" s="21"/>
      <c r="D43" s="21"/>
      <c r="E43" s="21"/>
      <c r="F43" s="22"/>
      <c r="G43" s="22"/>
      <c r="H43" s="9"/>
      <c r="I43" s="2"/>
      <c r="J43" s="3">
        <f t="shared" si="1"/>
        <v>0</v>
      </c>
      <c r="K43" s="27"/>
      <c r="L43" s="27"/>
      <c r="M43" s="27"/>
      <c r="N43" s="27"/>
      <c r="O43" s="27"/>
      <c r="P43" s="27"/>
      <c r="Q43" s="27"/>
      <c r="R43" s="27"/>
      <c r="S43" s="27"/>
      <c r="T43" s="27"/>
    </row>
    <row r="44" spans="1:20" ht="26.25" customHeight="1" thickTop="1" x14ac:dyDescent="0.3">
      <c r="A44" s="19"/>
      <c r="B44" s="18"/>
      <c r="C44" s="18"/>
      <c r="D44" s="18"/>
      <c r="E44" s="18"/>
      <c r="F44" s="18"/>
      <c r="G44" s="18"/>
      <c r="H44" s="25"/>
      <c r="I44" s="26"/>
      <c r="J44" s="26"/>
      <c r="K44" s="20"/>
      <c r="L44" s="21"/>
      <c r="M44" s="21"/>
      <c r="N44" s="21"/>
      <c r="O44" s="21"/>
      <c r="P44" s="22"/>
      <c r="Q44" s="22"/>
      <c r="R44" s="1"/>
      <c r="S44" s="2"/>
      <c r="T44" s="3"/>
    </row>
    <row r="45" spans="1:20" ht="79.5" customHeight="1" x14ac:dyDescent="0.3">
      <c r="A45" s="23"/>
      <c r="B45" s="24"/>
      <c r="C45" s="24"/>
      <c r="D45" s="24"/>
      <c r="E45" s="24"/>
      <c r="F45" s="24"/>
      <c r="G45" s="24"/>
      <c r="H45" s="24"/>
      <c r="I45" s="24"/>
      <c r="J45" s="24"/>
    </row>
    <row r="46" spans="1:20" ht="18.75" customHeight="1" x14ac:dyDescent="0.3">
      <c r="I46" s="16"/>
    </row>
    <row r="47" spans="1:20" ht="18.75" customHeight="1" x14ac:dyDescent="0.3">
      <c r="I47" s="16"/>
    </row>
    <row r="48" spans="1:20" ht="18.75" customHeight="1" x14ac:dyDescent="0.3">
      <c r="I48" s="16"/>
    </row>
    <row r="49" spans="9:9" ht="18.75" customHeight="1" x14ac:dyDescent="0.3">
      <c r="I49" s="16"/>
    </row>
    <row r="50" spans="9:9" ht="18.75" customHeight="1" x14ac:dyDescent="0.3">
      <c r="I50" s="16"/>
    </row>
    <row r="51" spans="9:9" ht="18.75" customHeight="1" x14ac:dyDescent="0.3">
      <c r="I51" s="16"/>
    </row>
    <row r="52" spans="9:9" ht="18.75" customHeight="1" x14ac:dyDescent="0.3">
      <c r="I52" s="16"/>
    </row>
    <row r="53" spans="9:9" ht="18.75" customHeight="1" x14ac:dyDescent="0.3">
      <c r="I53" s="16"/>
    </row>
    <row r="54" spans="9:9" ht="18.75" customHeight="1" x14ac:dyDescent="0.3">
      <c r="I54" s="16"/>
    </row>
    <row r="55" spans="9:9" ht="18.75" customHeight="1" x14ac:dyDescent="0.3">
      <c r="I55" s="16"/>
    </row>
    <row r="56" spans="9:9" ht="18.75" customHeight="1" x14ac:dyDescent="0.3">
      <c r="I56" s="16"/>
    </row>
    <row r="57" spans="9:9" ht="18.75" customHeight="1" x14ac:dyDescent="0.3">
      <c r="I57" s="16"/>
    </row>
    <row r="58" spans="9:9" ht="18.75" customHeight="1" x14ac:dyDescent="0.3">
      <c r="I58" s="16"/>
    </row>
    <row r="59" spans="9:9" ht="18.75" customHeight="1" x14ac:dyDescent="0.3">
      <c r="I59" s="16"/>
    </row>
    <row r="60" spans="9:9" ht="18.75" customHeight="1" x14ac:dyDescent="0.3">
      <c r="I60" s="16"/>
    </row>
    <row r="61" spans="9:9" ht="18.75" customHeight="1" x14ac:dyDescent="0.3">
      <c r="I61" s="16"/>
    </row>
    <row r="62" spans="9:9" ht="18.75" customHeight="1" x14ac:dyDescent="0.3">
      <c r="I62" s="16"/>
    </row>
    <row r="63" spans="9:9" ht="18.75" customHeight="1" x14ac:dyDescent="0.3">
      <c r="I63" s="16"/>
    </row>
    <row r="64" spans="9:9" ht="18.75" customHeight="1" x14ac:dyDescent="0.3">
      <c r="I64" s="16"/>
    </row>
    <row r="65" spans="9:9" ht="18.75" customHeight="1" x14ac:dyDescent="0.3">
      <c r="I65" s="16"/>
    </row>
    <row r="66" spans="9:9" ht="18.75" customHeight="1" x14ac:dyDescent="0.3">
      <c r="I66" s="16"/>
    </row>
    <row r="67" spans="9:9" ht="18.75" customHeight="1" x14ac:dyDescent="0.3">
      <c r="I67" s="16"/>
    </row>
  </sheetData>
  <mergeCells count="247">
    <mergeCell ref="A1:J1"/>
    <mergeCell ref="K1:M1"/>
    <mergeCell ref="N1:O1"/>
    <mergeCell ref="P1:Q1"/>
    <mergeCell ref="L2:M2"/>
    <mergeCell ref="N2:O2"/>
    <mergeCell ref="P2:Q2"/>
    <mergeCell ref="A5:B5"/>
    <mergeCell ref="C5:E5"/>
    <mergeCell ref="F5:G5"/>
    <mergeCell ref="L5:M5"/>
    <mergeCell ref="N5:O5"/>
    <mergeCell ref="P5:Q5"/>
    <mergeCell ref="P3:Q3"/>
    <mergeCell ref="A4:B4"/>
    <mergeCell ref="C4:E4"/>
    <mergeCell ref="F4:G4"/>
    <mergeCell ref="H4:J4"/>
    <mergeCell ref="L4:M4"/>
    <mergeCell ref="N4:O4"/>
    <mergeCell ref="P4:Q4"/>
    <mergeCell ref="A3:B3"/>
    <mergeCell ref="C3:E3"/>
    <mergeCell ref="F3:G3"/>
    <mergeCell ref="H3:J3"/>
    <mergeCell ref="L3:M3"/>
    <mergeCell ref="N3:O3"/>
    <mergeCell ref="A7:B7"/>
    <mergeCell ref="C7:E7"/>
    <mergeCell ref="F7:G7"/>
    <mergeCell ref="L7:M7"/>
    <mergeCell ref="N7:O7"/>
    <mergeCell ref="P7:Q7"/>
    <mergeCell ref="A6:B6"/>
    <mergeCell ref="C6:E6"/>
    <mergeCell ref="F6:G6"/>
    <mergeCell ref="L6:M6"/>
    <mergeCell ref="N6:O6"/>
    <mergeCell ref="P6:Q6"/>
    <mergeCell ref="A8:B8"/>
    <mergeCell ref="C8:E9"/>
    <mergeCell ref="F8:G8"/>
    <mergeCell ref="L8:M8"/>
    <mergeCell ref="N8:O8"/>
    <mergeCell ref="P8:Q8"/>
    <mergeCell ref="L9:M9"/>
    <mergeCell ref="N9:O9"/>
    <mergeCell ref="P9:Q9"/>
    <mergeCell ref="B11:C11"/>
    <mergeCell ref="D11:E11"/>
    <mergeCell ref="F11:G11"/>
    <mergeCell ref="L11:M11"/>
    <mergeCell ref="N11:O11"/>
    <mergeCell ref="P11:Q11"/>
    <mergeCell ref="B10:C10"/>
    <mergeCell ref="D10:E10"/>
    <mergeCell ref="F10:G10"/>
    <mergeCell ref="L10:M10"/>
    <mergeCell ref="N10:O10"/>
    <mergeCell ref="P10:Q10"/>
    <mergeCell ref="B13:C13"/>
    <mergeCell ref="D13:E13"/>
    <mergeCell ref="F13:G13"/>
    <mergeCell ref="L13:M13"/>
    <mergeCell ref="N13:O13"/>
    <mergeCell ref="P13:Q13"/>
    <mergeCell ref="B12:C12"/>
    <mergeCell ref="D12:E12"/>
    <mergeCell ref="F12:G12"/>
    <mergeCell ref="L12:M12"/>
    <mergeCell ref="N12:O12"/>
    <mergeCell ref="P12:Q12"/>
    <mergeCell ref="B15:C15"/>
    <mergeCell ref="D15:E15"/>
    <mergeCell ref="F15:G15"/>
    <mergeCell ref="L15:M15"/>
    <mergeCell ref="N15:O15"/>
    <mergeCell ref="P15:Q15"/>
    <mergeCell ref="B14:C14"/>
    <mergeCell ref="D14:E14"/>
    <mergeCell ref="F14:G14"/>
    <mergeCell ref="L14:M14"/>
    <mergeCell ref="N14:O14"/>
    <mergeCell ref="P14:Q14"/>
    <mergeCell ref="B17:C17"/>
    <mergeCell ref="D17:E17"/>
    <mergeCell ref="F17:G17"/>
    <mergeCell ref="L17:M17"/>
    <mergeCell ref="N17:O17"/>
    <mergeCell ref="P17:Q17"/>
    <mergeCell ref="B16:C16"/>
    <mergeCell ref="D16:E16"/>
    <mergeCell ref="F16:G16"/>
    <mergeCell ref="L16:M16"/>
    <mergeCell ref="N16:O16"/>
    <mergeCell ref="P16:Q16"/>
    <mergeCell ref="B19:C19"/>
    <mergeCell ref="D19:E19"/>
    <mergeCell ref="F19:G19"/>
    <mergeCell ref="L19:M19"/>
    <mergeCell ref="N19:O19"/>
    <mergeCell ref="P19:Q19"/>
    <mergeCell ref="B18:C18"/>
    <mergeCell ref="D18:E18"/>
    <mergeCell ref="F18:G18"/>
    <mergeCell ref="L18:M18"/>
    <mergeCell ref="N18:O18"/>
    <mergeCell ref="P18:Q18"/>
    <mergeCell ref="B21:C21"/>
    <mergeCell ref="D21:E21"/>
    <mergeCell ref="F21:G21"/>
    <mergeCell ref="L21:M21"/>
    <mergeCell ref="N21:O21"/>
    <mergeCell ref="P21:Q21"/>
    <mergeCell ref="B20:C20"/>
    <mergeCell ref="D20:E20"/>
    <mergeCell ref="F20:G20"/>
    <mergeCell ref="L20:M20"/>
    <mergeCell ref="N20:O20"/>
    <mergeCell ref="P20:Q20"/>
    <mergeCell ref="B23:C23"/>
    <mergeCell ref="D23:E23"/>
    <mergeCell ref="F23:G23"/>
    <mergeCell ref="L23:M23"/>
    <mergeCell ref="N23:O23"/>
    <mergeCell ref="P23:Q23"/>
    <mergeCell ref="B22:C22"/>
    <mergeCell ref="D22:E22"/>
    <mergeCell ref="F22:G22"/>
    <mergeCell ref="L22:M22"/>
    <mergeCell ref="N22:O22"/>
    <mergeCell ref="P22:Q22"/>
    <mergeCell ref="B25:C25"/>
    <mergeCell ref="D25:E25"/>
    <mergeCell ref="F25:G25"/>
    <mergeCell ref="L25:M25"/>
    <mergeCell ref="N25:O25"/>
    <mergeCell ref="P25:Q25"/>
    <mergeCell ref="B24:C24"/>
    <mergeCell ref="D24:E24"/>
    <mergeCell ref="F24:G24"/>
    <mergeCell ref="L24:M24"/>
    <mergeCell ref="N24:O24"/>
    <mergeCell ref="P24:Q24"/>
    <mergeCell ref="B27:C27"/>
    <mergeCell ref="D27:E27"/>
    <mergeCell ref="F27:G27"/>
    <mergeCell ref="L27:M27"/>
    <mergeCell ref="N27:O27"/>
    <mergeCell ref="P27:Q27"/>
    <mergeCell ref="B26:C26"/>
    <mergeCell ref="D26:E26"/>
    <mergeCell ref="F26:G26"/>
    <mergeCell ref="L26:M26"/>
    <mergeCell ref="N26:O26"/>
    <mergeCell ref="P26:Q26"/>
    <mergeCell ref="B29:C29"/>
    <mergeCell ref="D29:E29"/>
    <mergeCell ref="F29:G29"/>
    <mergeCell ref="L29:M29"/>
    <mergeCell ref="N29:O29"/>
    <mergeCell ref="P29:Q29"/>
    <mergeCell ref="B28:C28"/>
    <mergeCell ref="D28:E28"/>
    <mergeCell ref="F28:G28"/>
    <mergeCell ref="L28:M28"/>
    <mergeCell ref="N28:O28"/>
    <mergeCell ref="P28:Q28"/>
    <mergeCell ref="B31:C31"/>
    <mergeCell ref="D31:E31"/>
    <mergeCell ref="F31:G31"/>
    <mergeCell ref="L31:M31"/>
    <mergeCell ref="N31:O31"/>
    <mergeCell ref="P31:Q31"/>
    <mergeCell ref="B30:C30"/>
    <mergeCell ref="D30:E30"/>
    <mergeCell ref="F30:G30"/>
    <mergeCell ref="L30:M30"/>
    <mergeCell ref="N30:O30"/>
    <mergeCell ref="P30:Q30"/>
    <mergeCell ref="B33:C33"/>
    <mergeCell ref="D33:E33"/>
    <mergeCell ref="F33:G33"/>
    <mergeCell ref="L33:M33"/>
    <mergeCell ref="N33:O33"/>
    <mergeCell ref="P33:Q33"/>
    <mergeCell ref="B32:C32"/>
    <mergeCell ref="D32:E32"/>
    <mergeCell ref="F32:G32"/>
    <mergeCell ref="L32:M32"/>
    <mergeCell ref="N32:O32"/>
    <mergeCell ref="P32:Q32"/>
    <mergeCell ref="B35:C35"/>
    <mergeCell ref="D35:E35"/>
    <mergeCell ref="F35:G35"/>
    <mergeCell ref="L35:M35"/>
    <mergeCell ref="N35:O35"/>
    <mergeCell ref="P35:Q35"/>
    <mergeCell ref="B34:C34"/>
    <mergeCell ref="D34:E34"/>
    <mergeCell ref="F34:G34"/>
    <mergeCell ref="L34:M34"/>
    <mergeCell ref="N34:O34"/>
    <mergeCell ref="P34:Q34"/>
    <mergeCell ref="B37:C37"/>
    <mergeCell ref="D37:E37"/>
    <mergeCell ref="F37:G37"/>
    <mergeCell ref="L37:M37"/>
    <mergeCell ref="N37:O37"/>
    <mergeCell ref="P37:Q37"/>
    <mergeCell ref="B36:C36"/>
    <mergeCell ref="D36:E36"/>
    <mergeCell ref="F36:G36"/>
    <mergeCell ref="L36:M36"/>
    <mergeCell ref="N36:O36"/>
    <mergeCell ref="P36:Q36"/>
    <mergeCell ref="B39:C39"/>
    <mergeCell ref="D39:E39"/>
    <mergeCell ref="F39:G39"/>
    <mergeCell ref="L39:M39"/>
    <mergeCell ref="N39:O39"/>
    <mergeCell ref="P39:Q39"/>
    <mergeCell ref="B38:C38"/>
    <mergeCell ref="D38:E38"/>
    <mergeCell ref="F38:G38"/>
    <mergeCell ref="L38:M38"/>
    <mergeCell ref="N38:O38"/>
    <mergeCell ref="P38:Q38"/>
    <mergeCell ref="B40:C40"/>
    <mergeCell ref="D40:E40"/>
    <mergeCell ref="F40:G40"/>
    <mergeCell ref="R40:T40"/>
    <mergeCell ref="B41:C41"/>
    <mergeCell ref="D41:E41"/>
    <mergeCell ref="F41:G41"/>
    <mergeCell ref="K41:T43"/>
    <mergeCell ref="B42:C42"/>
    <mergeCell ref="D42:E42"/>
    <mergeCell ref="N44:O44"/>
    <mergeCell ref="P44:Q44"/>
    <mergeCell ref="A45:J45"/>
    <mergeCell ref="F42:G42"/>
    <mergeCell ref="B43:C43"/>
    <mergeCell ref="D43:E43"/>
    <mergeCell ref="F43:G43"/>
    <mergeCell ref="H44:J44"/>
    <mergeCell ref="L44:M44"/>
  </mergeCells>
  <phoneticPr fontId="3" type="noConversion"/>
  <conditionalFormatting sqref="J42:J43 J11:J25 J29:J32">
    <cfRule type="cellIs" dxfId="11" priority="12" operator="equal">
      <formula>$L$11</formula>
    </cfRule>
  </conditionalFormatting>
  <conditionalFormatting sqref="J33:J41 K37:K39">
    <cfRule type="cellIs" dxfId="10" priority="11" operator="equal">
      <formula>$L$11</formula>
    </cfRule>
  </conditionalFormatting>
  <conditionalFormatting sqref="T4:T26">
    <cfRule type="cellIs" dxfId="9" priority="7" operator="equal">
      <formula>$L$11</formula>
    </cfRule>
  </conditionalFormatting>
  <conditionalFormatting sqref="T2">
    <cfRule type="cellIs" dxfId="8" priority="10" operator="equal">
      <formula>$L$11</formula>
    </cfRule>
  </conditionalFormatting>
  <conditionalFormatting sqref="T44">
    <cfRule type="cellIs" dxfId="7" priority="8" operator="equal">
      <formula>$L$11</formula>
    </cfRule>
  </conditionalFormatting>
  <conditionalFormatting sqref="T1">
    <cfRule type="cellIs" dxfId="6" priority="9" operator="equal">
      <formula>$L$11</formula>
    </cfRule>
  </conditionalFormatting>
  <conditionalFormatting sqref="I12">
    <cfRule type="cellIs" dxfId="5" priority="6" operator="equal">
      <formula>$L$11</formula>
    </cfRule>
  </conditionalFormatting>
  <conditionalFormatting sqref="I13">
    <cfRule type="cellIs" dxfId="4" priority="5" operator="equal">
      <formula>$L$11</formula>
    </cfRule>
  </conditionalFormatting>
  <conditionalFormatting sqref="J26">
    <cfRule type="cellIs" dxfId="3" priority="4" operator="equal">
      <formula>$L$11</formula>
    </cfRule>
  </conditionalFormatting>
  <conditionalFormatting sqref="J27">
    <cfRule type="cellIs" dxfId="2" priority="3" operator="equal">
      <formula>$L$11</formula>
    </cfRule>
  </conditionalFormatting>
  <conditionalFormatting sqref="J28">
    <cfRule type="cellIs" dxfId="1" priority="2" operator="equal">
      <formula>$L$11</formula>
    </cfRule>
  </conditionalFormatting>
  <conditionalFormatting sqref="T27:T39">
    <cfRule type="cellIs" dxfId="0" priority="1" operator="equal">
      <formula>$L$11</formula>
    </cfRule>
  </conditionalFormatting>
  <printOptions horizontalCentered="1" verticalCentered="1"/>
  <pageMargins left="0.78740157480314965" right="0.70866141732283472" top="0.98425196850393704" bottom="0.51181102362204722" header="0.19685039370078741" footer="0.78740157480314965"/>
  <pageSetup paperSize="9" scale="59" fitToHeight="0" orientation="portrait" r:id="rId1"/>
  <headerFooter>
    <oddHeader>&amp;L&amp;G</oddHeader>
  </headerFooter>
  <colBreaks count="1" manualBreakCount="1">
    <brk id="10" max="44" man="1"/>
  </colBreaks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승욱 정</dc:creator>
  <cp:lastModifiedBy>승욱 정</cp:lastModifiedBy>
  <dcterms:created xsi:type="dcterms:W3CDTF">2026-04-01T05:26:07Z</dcterms:created>
  <dcterms:modified xsi:type="dcterms:W3CDTF">2026-04-01T05:28:34Z</dcterms:modified>
</cp:coreProperties>
</file>