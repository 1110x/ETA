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OneDrive\바탕 화면\"/>
    </mc:Choice>
  </mc:AlternateContent>
  <xr:revisionPtr revIDLastSave="0" documentId="8_{20F2912D-7FD6-4851-B645-70986BF9D8B6}" xr6:coauthVersionLast="47" xr6:coauthVersionMax="47" xr10:uidLastSave="{00000000-0000-0000-0000-000000000000}"/>
  <bookViews>
    <workbookView xWindow="-120" yWindow="-120" windowWidth="38640" windowHeight="21120" xr2:uid="{867EAF98-2245-40B7-814A-A15ED6E75D18}"/>
  </bookViews>
  <sheets>
    <sheet name="TN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TN!$A$1:$P$39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TN!$A$1:$P$39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1" l="1"/>
  <c r="M37" i="1"/>
  <c r="E37" i="1"/>
  <c r="F37" i="1" s="1"/>
  <c r="N36" i="1"/>
  <c r="M36" i="1"/>
  <c r="E36" i="1"/>
  <c r="F36" i="1" s="1"/>
  <c r="N35" i="1"/>
  <c r="M35" i="1"/>
  <c r="E35" i="1"/>
  <c r="F35" i="1" s="1"/>
  <c r="N34" i="1"/>
  <c r="M34" i="1"/>
  <c r="E34" i="1"/>
  <c r="F34" i="1" s="1"/>
  <c r="N33" i="1"/>
  <c r="M33" i="1"/>
  <c r="E33" i="1"/>
  <c r="F33" i="1" s="1"/>
  <c r="N32" i="1"/>
  <c r="M32" i="1"/>
  <c r="E32" i="1"/>
  <c r="F32" i="1" s="1"/>
  <c r="N31" i="1"/>
  <c r="M31" i="1"/>
  <c r="E31" i="1"/>
  <c r="F31" i="1" s="1"/>
  <c r="N30" i="1"/>
  <c r="M30" i="1"/>
  <c r="E30" i="1"/>
  <c r="F30" i="1" s="1"/>
  <c r="N29" i="1"/>
  <c r="M29" i="1"/>
  <c r="E29" i="1"/>
  <c r="F29" i="1" s="1"/>
  <c r="N28" i="1"/>
  <c r="M28" i="1"/>
  <c r="E28" i="1"/>
  <c r="F28" i="1" s="1"/>
  <c r="N27" i="1"/>
  <c r="M27" i="1"/>
  <c r="E27" i="1"/>
  <c r="F27" i="1" s="1"/>
  <c r="N26" i="1"/>
  <c r="M26" i="1"/>
  <c r="E26" i="1"/>
  <c r="F26" i="1" s="1"/>
  <c r="N25" i="1"/>
  <c r="M25" i="1"/>
  <c r="E25" i="1"/>
  <c r="F25" i="1" s="1"/>
  <c r="N24" i="1"/>
  <c r="M24" i="1"/>
  <c r="E24" i="1"/>
  <c r="F24" i="1" s="1"/>
  <c r="N23" i="1"/>
  <c r="M23" i="1"/>
  <c r="E23" i="1"/>
  <c r="F23" i="1" s="1"/>
  <c r="N22" i="1"/>
  <c r="M22" i="1"/>
  <c r="E22" i="1"/>
  <c r="F22" i="1" s="1"/>
  <c r="N21" i="1"/>
  <c r="M21" i="1"/>
  <c r="E21" i="1"/>
  <c r="F21" i="1" s="1"/>
  <c r="N20" i="1"/>
  <c r="M20" i="1"/>
  <c r="E20" i="1"/>
  <c r="F20" i="1" s="1"/>
  <c r="N19" i="1"/>
  <c r="M19" i="1"/>
  <c r="E19" i="1"/>
  <c r="F19" i="1" s="1"/>
  <c r="N18" i="1"/>
  <c r="M18" i="1"/>
  <c r="E18" i="1"/>
  <c r="F18" i="1" s="1"/>
  <c r="N17" i="1"/>
  <c r="M17" i="1"/>
  <c r="E17" i="1"/>
  <c r="F17" i="1" s="1"/>
  <c r="N16" i="1"/>
  <c r="M16" i="1"/>
  <c r="E16" i="1"/>
  <c r="F16" i="1" s="1"/>
  <c r="N15" i="1"/>
  <c r="M15" i="1"/>
  <c r="E15" i="1"/>
  <c r="F15" i="1" s="1"/>
  <c r="N14" i="1"/>
  <c r="M14" i="1"/>
  <c r="E14" i="1"/>
  <c r="F14" i="1" s="1"/>
  <c r="N13" i="1"/>
  <c r="M13" i="1"/>
  <c r="E13" i="1"/>
  <c r="F13" i="1" s="1"/>
  <c r="M12" i="1"/>
  <c r="N12" i="1" s="1"/>
  <c r="E12" i="1"/>
  <c r="F12" i="1" s="1"/>
  <c r="M11" i="1"/>
  <c r="N11" i="1" s="1"/>
  <c r="E11" i="1"/>
  <c r="F11" i="1" s="1"/>
  <c r="M10" i="1"/>
  <c r="N10" i="1" s="1"/>
  <c r="E10" i="1"/>
  <c r="F10" i="1" s="1"/>
  <c r="M9" i="1"/>
  <c r="N9" i="1" s="1"/>
  <c r="E9" i="1"/>
  <c r="F9" i="1" s="1"/>
  <c r="M8" i="1"/>
  <c r="N8" i="1" s="1"/>
  <c r="E8" i="1"/>
  <c r="F8" i="1" s="1"/>
  <c r="J1" i="1"/>
</calcChain>
</file>

<file path=xl/sharedStrings.xml><?xml version="1.0" encoding="utf-8"?>
<sst xmlns="http://schemas.openxmlformats.org/spreadsheetml/2006/main" count="112" uniqueCount="94">
  <si>
    <t>▧ 문서번호</t>
    <phoneticPr fontId="3" type="noConversion"/>
  </si>
  <si>
    <t>▧ 분석방법</t>
  </si>
  <si>
    <t>ES 04363.1b 총질소-자외선, 가시선 분광법-산화법</t>
    <phoneticPr fontId="3" type="noConversion"/>
  </si>
  <si>
    <t>ES 04363.1a 총질소-자외선, 가시선 분광법-산화법</t>
    <phoneticPr fontId="3" type="noConversion"/>
  </si>
  <si>
    <t>▧ 결과표시</t>
  </si>
  <si>
    <t>총질소 (㎎/L)=(y-b)/a*(60/50)*I</t>
  </si>
  <si>
    <t>총질소(㎎/L) = [a] 검정곡선의로 부터 구한 질소의 양(mg) ˟ (60÷25)  ˟ (1000÷시료량)</t>
    <phoneticPr fontId="3" type="noConversion"/>
  </si>
  <si>
    <t>▧ 관련근거</t>
  </si>
  <si>
    <t>1. 공공폐수처리시설 설치 및 운영관리지침(8차개정) "공공폐수처리시설의 수질검사" 항</t>
  </si>
  <si>
    <t>STANDARD</t>
    <phoneticPr fontId="3" type="noConversion"/>
  </si>
  <si>
    <t>abs</t>
    <phoneticPr fontId="3" type="noConversion"/>
  </si>
  <si>
    <t>시료명</t>
  </si>
  <si>
    <t>시료량(mL)</t>
    <phoneticPr fontId="3" type="noConversion"/>
  </si>
  <si>
    <t>흡광도</t>
  </si>
  <si>
    <t>희석배수</t>
  </si>
  <si>
    <t>검정곡선 계산농도</t>
    <phoneticPr fontId="3" type="noConversion"/>
  </si>
  <si>
    <t>Result(㎎/L)</t>
  </si>
  <si>
    <t>비고</t>
    <phoneticPr fontId="3" type="noConversion"/>
  </si>
  <si>
    <t>시료번호</t>
    <phoneticPr fontId="3" type="noConversion"/>
  </si>
  <si>
    <t>시료량</t>
  </si>
  <si>
    <t>비를라카본코리아㈜</t>
  </si>
  <si>
    <t>02-24-02</t>
  </si>
  <si>
    <t>㈜한맥데코산업</t>
  </si>
  <si>
    <t>[율촌]02-27-01</t>
  </si>
  <si>
    <t>한화솔루션(주)티디아이</t>
  </si>
  <si>
    <t>02-24-03</t>
  </si>
  <si>
    <t>DSR제강㈜</t>
  </si>
  <si>
    <t>[율촌]02-27-02</t>
  </si>
  <si>
    <t>넥스워터㈜</t>
  </si>
  <si>
    <t>02-24-07</t>
  </si>
  <si>
    <t>쓰리에스글로벌</t>
  </si>
  <si>
    <t>[율촌]02-27-03</t>
  </si>
  <si>
    <t>금호석유화학(주)[정밀고무약품공장]</t>
  </si>
  <si>
    <t>02-24-11</t>
  </si>
  <si>
    <t>㈜광양훼더</t>
  </si>
  <si>
    <t>[율촌]02-27-04</t>
  </si>
  <si>
    <t>금호석유화학㈜정밀화학AU공장</t>
  </si>
  <si>
    <t>02-24-12</t>
  </si>
  <si>
    <t>CGN율촌전력㈜</t>
  </si>
  <si>
    <t>[율촌]02-27-06</t>
  </si>
  <si>
    <t>(주)케이아이엔티</t>
  </si>
  <si>
    <t>02-24-15</t>
  </si>
  <si>
    <t>남해화학㈜ 여수공장</t>
  </si>
  <si>
    <t>02-24-16</t>
  </si>
  <si>
    <t>티케이지휴켐스(주)</t>
  </si>
  <si>
    <t>02-24-17</t>
  </si>
  <si>
    <t>(주)엘지화학[브이시엠공장]</t>
  </si>
  <si>
    <t>02-24-18</t>
  </si>
  <si>
    <t>삼남석유화학㈜ 여수공장</t>
  </si>
  <si>
    <t>02-24-19</t>
  </si>
  <si>
    <t>지에스칼텍스(주)여수공장</t>
  </si>
  <si>
    <t>02-24-20</t>
  </si>
  <si>
    <t>지에스칼텍스㈜MFC</t>
  </si>
  <si>
    <t>02-24-21</t>
  </si>
  <si>
    <t>지에스칼텍스(주)여수공장[NO.2 HOU]</t>
  </si>
  <si>
    <t>02-24-22</t>
  </si>
  <si>
    <t>지에스칼텍스(주)여수공장[NO.3 HOU]</t>
  </si>
  <si>
    <t>02-24-23</t>
  </si>
  <si>
    <t>(주)엘지화학[CA/EDC공장]</t>
  </si>
  <si>
    <t>02-24-24</t>
  </si>
  <si>
    <t>㈜한국환경사업단</t>
  </si>
  <si>
    <t>02-23-01</t>
  </si>
  <si>
    <t>해인기업㈜(화치공장)</t>
  </si>
  <si>
    <t>02-23-15</t>
  </si>
  <si>
    <t>더블유알그레이스코리아(유)</t>
  </si>
  <si>
    <t>02-23-18</t>
  </si>
  <si>
    <t>보임열병합발전㈜</t>
  </si>
  <si>
    <t>02-25-01</t>
  </si>
  <si>
    <t>맛시락</t>
  </si>
  <si>
    <t>02-25-04</t>
  </si>
  <si>
    <t>그린생명과학주식회사</t>
  </si>
  <si>
    <t>02-25-05</t>
  </si>
  <si>
    <t>금호석유화학(주)[2공장]</t>
  </si>
  <si>
    <t>02-25-08</t>
  </si>
  <si>
    <t>여천NCC(주)2공장-환경안전팀</t>
  </si>
  <si>
    <t>02-26-02</t>
  </si>
  <si>
    <t>금호미쓰이화학㈜</t>
  </si>
  <si>
    <t>02-26-03</t>
  </si>
  <si>
    <t>㈜한화 여수사업장</t>
  </si>
  <si>
    <t>02-26-04</t>
  </si>
  <si>
    <t xml:space="preserve">여천NCC(주)1공장-환경안전팀 </t>
  </si>
  <si>
    <t>02-28-02</t>
  </si>
  <si>
    <t>02-28-03</t>
  </si>
  <si>
    <t>금호피앤비화학㈜</t>
  </si>
  <si>
    <t>02-28-04</t>
  </si>
  <si>
    <t>한국바스프㈜</t>
  </si>
  <si>
    <t>02-28-05</t>
  </si>
  <si>
    <t>광양알루미늄</t>
  </si>
  <si>
    <t>[세풍]02-26-02</t>
  </si>
  <si>
    <t>TN - 분석담당자</t>
    <phoneticPr fontId="3" type="noConversion"/>
  </si>
  <si>
    <t>기술책임자</t>
    <phoneticPr fontId="3" type="noConversion"/>
  </si>
  <si>
    <t>기술책임자(부)</t>
  </si>
  <si>
    <t xml:space="preserve">김가린  </t>
    <phoneticPr fontId="3" type="noConversion"/>
  </si>
  <si>
    <t>방찬미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</si>
</sst>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&quot;TN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&quot;ST-1(mg)_x000a_&quot;0.0000"/>
    <numFmt numFmtId="182" formatCode="&quot;ST-2(mg)_x000a_&quot;0.0000"/>
    <numFmt numFmtId="183" formatCode="&quot;ST-3(mg)_x000a_&quot;0.0000"/>
    <numFmt numFmtId="184" formatCode="&quot;ST-4(mg)_x000a_&quot;0.0000"/>
    <numFmt numFmtId="185" formatCode="&quot;ST-5(mg)_x000a_&quot;0.0000"/>
    <numFmt numFmtId="186" formatCode="&quot;기울기_x000a_&quot;General&quot; (a)&quot;"/>
    <numFmt numFmtId="187" formatCode="&quot;절편_x000a_&quot;General&quot; (b)&quot;"/>
    <numFmt numFmtId="188" formatCode="0.0000"/>
    <numFmt numFmtId="189" formatCode="&quot;R2 :&quot;\ 0.00000"/>
    <numFmt numFmtId="190" formatCode="&quot;R2 :&quot;\ 0.0000"/>
    <numFmt numFmtId="191" formatCode="0.#0"/>
    <numFmt numFmtId="192" formatCode="00\-00\-00"/>
    <numFmt numFmtId="193" formatCode="0.000"/>
    <numFmt numFmtId="194" formatCode="@\ \ \ \ \ \ \ \ &quot;(서명)&quot;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11"/>
      <color theme="1"/>
      <name val="KBIZ한마음고딕 R"/>
      <family val="1"/>
      <charset val="129"/>
    </font>
    <font>
      <sz val="12"/>
      <color theme="1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>
      <alignment vertical="center"/>
    </xf>
    <xf numFmtId="49" fontId="2" fillId="0" borderId="0" xfId="1" applyNumberFormat="1" applyFont="1" applyAlignment="1">
      <alignment horizontal="distributed" vertical="distributed" indent="1"/>
    </xf>
    <xf numFmtId="176" fontId="4" fillId="0" borderId="0" xfId="1" applyNumberFormat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Font="1"/>
    <xf numFmtId="178" fontId="7" fillId="0" borderId="0" xfId="1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80" fontId="2" fillId="0" borderId="0" xfId="1" applyNumberFormat="1" applyFont="1" applyAlignment="1">
      <alignment horizontal="distributed" vertical="distributed" indent="1"/>
    </xf>
    <xf numFmtId="180" fontId="2" fillId="0" borderId="1" xfId="1" applyNumberFormat="1" applyFont="1" applyBorder="1" applyAlignment="1">
      <alignment horizontal="distributed" vertical="distributed" indent="1"/>
    </xf>
    <xf numFmtId="0" fontId="2" fillId="0" borderId="1" xfId="1" applyFont="1" applyBorder="1" applyAlignment="1">
      <alignment horizontal="left" vertical="center" indent="1"/>
    </xf>
    <xf numFmtId="0" fontId="2" fillId="0" borderId="1" xfId="1" applyFont="1" applyBorder="1"/>
    <xf numFmtId="0" fontId="8" fillId="2" borderId="2" xfId="2" applyFont="1" applyFill="1" applyBorder="1" applyAlignment="1">
      <alignment horizontal="center" vertical="center"/>
    </xf>
    <xf numFmtId="181" fontId="8" fillId="2" borderId="2" xfId="2" applyNumberFormat="1" applyFont="1" applyFill="1" applyBorder="1" applyAlignment="1">
      <alignment horizontal="center" vertical="center" wrapText="1"/>
    </xf>
    <xf numFmtId="182" fontId="8" fillId="2" borderId="2" xfId="2" applyNumberFormat="1" applyFont="1" applyFill="1" applyBorder="1" applyAlignment="1">
      <alignment horizontal="center" vertical="center" wrapText="1"/>
    </xf>
    <xf numFmtId="183" fontId="8" fillId="2" borderId="2" xfId="2" applyNumberFormat="1" applyFont="1" applyFill="1" applyBorder="1" applyAlignment="1">
      <alignment horizontal="center" vertical="center" wrapText="1"/>
    </xf>
    <xf numFmtId="184" fontId="8" fillId="2" borderId="2" xfId="2" applyNumberFormat="1" applyFont="1" applyFill="1" applyBorder="1" applyAlignment="1">
      <alignment horizontal="center" vertical="center" wrapText="1"/>
    </xf>
    <xf numFmtId="185" fontId="8" fillId="2" borderId="2" xfId="2" applyNumberFormat="1" applyFont="1" applyFill="1" applyBorder="1" applyAlignment="1">
      <alignment horizontal="center" vertical="center" wrapText="1"/>
    </xf>
    <xf numFmtId="186" fontId="8" fillId="2" borderId="2" xfId="2" applyNumberFormat="1" applyFont="1" applyFill="1" applyBorder="1" applyAlignment="1">
      <alignment horizontal="center" vertical="center" wrapText="1"/>
    </xf>
    <xf numFmtId="187" fontId="8" fillId="2" borderId="2" xfId="2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188" fontId="8" fillId="2" borderId="0" xfId="0" applyNumberFormat="1" applyFont="1" applyFill="1" applyAlignment="1">
      <alignment horizontal="center" vertical="center"/>
    </xf>
    <xf numFmtId="189" fontId="8" fillId="2" borderId="3" xfId="0" applyNumberFormat="1" applyFont="1" applyFill="1" applyBorder="1" applyAlignment="1">
      <alignment horizontal="center" vertical="center"/>
    </xf>
    <xf numFmtId="190" fontId="8" fillId="2" borderId="3" xfId="0" applyNumberFormat="1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91" fontId="8" fillId="2" borderId="4" xfId="2" applyNumberFormat="1" applyFont="1" applyFill="1" applyBorder="1" applyAlignment="1">
      <alignment horizontal="center" vertical="center"/>
    </xf>
    <xf numFmtId="2" fontId="8" fillId="2" borderId="4" xfId="2" applyNumberFormat="1" applyFont="1" applyFill="1" applyBorder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8" fontId="2" fillId="0" borderId="0" xfId="0" applyNumberFormat="1" applyFont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5" xfId="3" applyFont="1" applyBorder="1" applyAlignment="1">
      <alignment horizontal="center" vertical="center" wrapText="1"/>
    </xf>
    <xf numFmtId="0" fontId="2" fillId="0" borderId="5" xfId="3" applyFont="1" applyBorder="1"/>
    <xf numFmtId="0" fontId="2" fillId="0" borderId="5" xfId="3" applyFont="1" applyBorder="1" applyAlignment="1">
      <alignment horizontal="center" vertical="center"/>
    </xf>
    <xf numFmtId="194" fontId="2" fillId="0" borderId="0" xfId="0" applyNumberFormat="1" applyFont="1" applyAlignment="1">
      <alignment horizontal="right" vertical="center" indent="1"/>
    </xf>
    <xf numFmtId="0" fontId="9" fillId="0" borderId="0" xfId="0" applyFont="1">
      <alignment vertical="center"/>
    </xf>
  </cellXfs>
  <cellStyles count="4">
    <cellStyle name="표준" xfId="0" builtinId="0"/>
    <cellStyle name="표준 3" xfId="1" xr:uid="{62AC1B51-9E5E-4213-9400-0333D565226B}"/>
    <cellStyle name="표준 4" xfId="2" xr:uid="{BBE13032-0B68-4397-AC5D-31E861B6B411}"/>
    <cellStyle name="표준 5" xfId="3" xr:uid="{F84F0490-D473-44C1-B71B-2F4AC08DB5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F$1" max="30000" min="3" page="10" val="225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1129393</xdr:colOff>
      <xdr:row>2</xdr:row>
      <xdr:rowOff>244929</xdr:rowOff>
    </xdr:from>
    <xdr:to>
      <xdr:col>19</xdr:col>
      <xdr:colOff>428592</xdr:colOff>
      <xdr:row>3</xdr:row>
      <xdr:rowOff>309536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CF3E4FC-2F1D-4A28-9B91-12C071ABBAEC}"/>
            </a:ext>
          </a:extLst>
        </xdr:cNvPr>
        <xdr:cNvGrpSpPr/>
      </xdr:nvGrpSpPr>
      <xdr:grpSpPr>
        <a:xfrm>
          <a:off x="24479250" y="979715"/>
          <a:ext cx="3503806" cy="432000"/>
          <a:chOff x="7743825" y="1061358"/>
          <a:chExt cx="3503806" cy="43200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pinner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300-000010540000}"/>
                  </a:ext>
                </a:extLst>
              </xdr:cNvPr>
              <xdr:cNvSpPr/>
            </xdr:nvSpPr>
            <xdr:spPr bwMode="auto">
              <a:xfrm>
                <a:off x="7743825" y="1096736"/>
                <a:ext cx="381000" cy="35786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pic macro="[1]!조회_조지기">
        <xdr:nvPicPr>
          <xdr:cNvPr id="3" name="그림 2">
            <a:extLst>
              <a:ext uri="{FF2B5EF4-FFF2-40B4-BE49-F238E27FC236}">
                <a16:creationId xmlns:a16="http://schemas.microsoft.com/office/drawing/2014/main" id="{6D16FF69-214F-B4E6-6FFC-A402BF563F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625394" y="1109523"/>
            <a:ext cx="375525" cy="335671"/>
          </a:xfrm>
          <a:prstGeom prst="rect">
            <a:avLst/>
          </a:prstGeom>
        </xdr:spPr>
      </xdr:pic>
      <xdr:pic macro="[1]!GoDATA">
        <xdr:nvPicPr>
          <xdr:cNvPr id="4" name="그림 3">
            <a:extLst>
              <a:ext uri="{FF2B5EF4-FFF2-40B4-BE49-F238E27FC236}">
                <a16:creationId xmlns:a16="http://schemas.microsoft.com/office/drawing/2014/main" id="{FE11A686-54B4-4CB4-AF35-9DCD823025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6F5FA"/>
              </a:clrFrom>
              <a:clrTo>
                <a:srgbClr val="F6F5FA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187347" y="1095384"/>
            <a:ext cx="375525" cy="363948"/>
          </a:xfrm>
          <a:prstGeom prst="rect">
            <a:avLst/>
          </a:prstGeom>
        </xdr:spPr>
      </xdr:pic>
      <xdr:pic macro="[1]!LIST불러오기">
        <xdr:nvPicPr>
          <xdr:cNvPr id="5" name="그림 4">
            <a:extLst>
              <a:ext uri="{FF2B5EF4-FFF2-40B4-BE49-F238E27FC236}">
                <a16:creationId xmlns:a16="http://schemas.microsoft.com/office/drawing/2014/main" id="{0A30520F-FF6A-2CB5-5C44-5C0F457727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9063441" y="1098023"/>
            <a:ext cx="375525" cy="358671"/>
          </a:xfrm>
          <a:prstGeom prst="rect">
            <a:avLst/>
          </a:prstGeom>
        </xdr:spPr>
      </xdr:pic>
      <xdr:pic macro="[1]!copythatfile">
        <xdr:nvPicPr>
          <xdr:cNvPr id="6" name="그림 5">
            <a:extLst>
              <a:ext uri="{FF2B5EF4-FFF2-40B4-BE49-F238E27FC236}">
                <a16:creationId xmlns:a16="http://schemas.microsoft.com/office/drawing/2014/main" id="{3AF39B99-12F6-ACC2-5358-A7F91C9422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01488" y="1098404"/>
            <a:ext cx="375525" cy="357908"/>
          </a:xfrm>
          <a:prstGeom prst="rect">
            <a:avLst/>
          </a:prstGeom>
        </xdr:spPr>
      </xdr:pic>
      <xdr:pic macro="[1]!그림14_Click">
        <xdr:nvPicPr>
          <xdr:cNvPr id="7" name="그림 6">
            <a:extLst>
              <a:ext uri="{FF2B5EF4-FFF2-40B4-BE49-F238E27FC236}">
                <a16:creationId xmlns:a16="http://schemas.microsoft.com/office/drawing/2014/main" id="{C0E19877-6166-FAA6-AABA-1439F6A8F6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34057" y="1098404"/>
            <a:ext cx="375525" cy="357908"/>
          </a:xfrm>
          <a:prstGeom prst="rect">
            <a:avLst/>
          </a:prstGeom>
        </xdr:spPr>
      </xdr:pic>
      <xdr:pic macro="[1]!수식">
        <xdr:nvPicPr>
          <xdr:cNvPr id="8" name="그림 7">
            <a:extLst>
              <a:ext uri="{FF2B5EF4-FFF2-40B4-BE49-F238E27FC236}">
                <a16:creationId xmlns:a16="http://schemas.microsoft.com/office/drawing/2014/main" id="{5AC50EAE-9409-0F1C-D3E1-C2BB8B8A8D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39535" y="1061358"/>
            <a:ext cx="432000" cy="432000"/>
          </a:xfrm>
          <a:prstGeom prst="rect">
            <a:avLst/>
          </a:prstGeom>
        </xdr:spPr>
      </xdr:pic>
      <xdr:pic macro="[1]!EASY">
        <xdr:nvPicPr>
          <xdr:cNvPr id="9" name="그림 8" hidden="1">
            <a:extLst>
              <a:ext uri="{FF2B5EF4-FFF2-40B4-BE49-F238E27FC236}">
                <a16:creationId xmlns:a16="http://schemas.microsoft.com/office/drawing/2014/main" id="{B558B130-A2EE-AEB6-C9CD-4FB1147C5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72106" y="1103803"/>
            <a:ext cx="375525" cy="347110"/>
          </a:xfrm>
          <a:prstGeom prst="rect">
            <a:avLst/>
          </a:prstGeom>
        </xdr:spPr>
      </xdr:pic>
    </xdr:grp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&#48516;&#49437;&#44284;\NEW-CHUNG%20HA\CHUNGHA-&#51060;&#50696;&#47548;.xlsm" TargetMode="External"/><Relationship Id="rId1" Type="http://schemas.openxmlformats.org/officeDocument/2006/relationships/externalLinkPath" Target="file:///X:\&#48516;&#49437;&#44284;\NEW-CHUNG%20HA\CHUNGHA-&#51060;&#50696;&#4754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(NPOC)"/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definedNames>
      <definedName name="copythatfile"/>
      <definedName name="EASY"/>
      <definedName name="GoDATA"/>
      <definedName name="LIST불러오기"/>
      <definedName name="그림14_Click"/>
      <definedName name="수식"/>
      <definedName name="조회_조지기"/>
      <definedName name="쪼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0112-7AAA-43B9-9321-8015C848A901}">
  <sheetPr codeName="Sheet7">
    <tabColor theme="9" tint="0.39997558519241921"/>
  </sheetPr>
  <dimension ref="A1:P39"/>
  <sheetViews>
    <sheetView tabSelected="1" view="pageBreakPreview" zoomScale="70" zoomScaleNormal="70" zoomScaleSheetLayoutView="70" zoomScalePageLayoutView="40" workbookViewId="0">
      <selection activeCell="D21" sqref="D21"/>
    </sheetView>
  </sheetViews>
  <sheetFormatPr defaultColWidth="18.375" defaultRowHeight="24.75" customHeight="1" x14ac:dyDescent="0.3"/>
  <cols>
    <col min="1" max="1" width="30.375" style="41" customWidth="1"/>
    <col min="2" max="8" width="16.75" style="41" customWidth="1"/>
    <col min="9" max="9" width="30.5" style="41" customWidth="1"/>
    <col min="10" max="10" width="16.75" style="41" customWidth="1"/>
    <col min="11" max="11" width="27.375" style="41" customWidth="1"/>
    <col min="12" max="16" width="16.75" style="41" customWidth="1"/>
    <col min="17" max="16384" width="18.375" style="41"/>
  </cols>
  <sheetData>
    <row r="1" spans="1:16" s="8" customFormat="1" ht="29.25" customHeight="1" x14ac:dyDescent="0.4">
      <c r="A1" s="1" t="s">
        <v>0</v>
      </c>
      <c r="B1" s="2">
        <v>46084</v>
      </c>
      <c r="C1" s="2"/>
      <c r="D1" s="3"/>
      <c r="E1" s="4">
        <v>57</v>
      </c>
      <c r="F1" s="5">
        <v>2255</v>
      </c>
      <c r="G1" s="6"/>
      <c r="H1" s="7"/>
      <c r="I1" s="1" t="s">
        <v>0</v>
      </c>
      <c r="J1" s="2">
        <f>B1</f>
        <v>46084</v>
      </c>
      <c r="K1" s="2"/>
      <c r="L1" s="3"/>
      <c r="M1" s="4">
        <v>0</v>
      </c>
      <c r="N1" s="5">
        <v>914</v>
      </c>
      <c r="O1" s="6"/>
      <c r="P1" s="6"/>
    </row>
    <row r="2" spans="1:16" s="8" customFormat="1" ht="29.25" customHeight="1" x14ac:dyDescent="0.4">
      <c r="A2" s="1" t="s">
        <v>1</v>
      </c>
      <c r="B2" s="9" t="s">
        <v>2</v>
      </c>
      <c r="C2" s="3"/>
      <c r="D2" s="10"/>
      <c r="E2" s="11"/>
      <c r="F2" s="11"/>
      <c r="G2" s="6"/>
      <c r="H2" s="6"/>
      <c r="I2" s="1" t="s">
        <v>1</v>
      </c>
      <c r="J2" s="9" t="s">
        <v>3</v>
      </c>
      <c r="K2" s="3"/>
      <c r="L2" s="10">
        <v>1</v>
      </c>
      <c r="M2" s="11"/>
      <c r="N2" s="11"/>
      <c r="O2" s="6"/>
      <c r="P2" s="6"/>
    </row>
    <row r="3" spans="1:16" s="8" customFormat="1" ht="29.25" customHeight="1" x14ac:dyDescent="0.4">
      <c r="A3" s="12" t="s">
        <v>4</v>
      </c>
      <c r="B3" s="9" t="s">
        <v>5</v>
      </c>
      <c r="C3" s="3"/>
      <c r="D3" s="11"/>
      <c r="E3" s="3"/>
      <c r="F3" s="3"/>
      <c r="G3" s="6"/>
      <c r="H3" s="6"/>
      <c r="I3" s="12" t="s">
        <v>4</v>
      </c>
      <c r="J3" s="9" t="s">
        <v>6</v>
      </c>
      <c r="K3" s="3"/>
      <c r="L3" s="11"/>
      <c r="M3" s="3"/>
      <c r="N3" s="3"/>
      <c r="O3" s="6"/>
      <c r="P3" s="6"/>
    </row>
    <row r="4" spans="1:16" s="8" customFormat="1" ht="29.25" customHeight="1" thickBot="1" x14ac:dyDescent="0.45">
      <c r="A4" s="13" t="s">
        <v>7</v>
      </c>
      <c r="B4" s="14" t="s">
        <v>8</v>
      </c>
      <c r="C4" s="14"/>
      <c r="D4" s="14"/>
      <c r="E4" s="14"/>
      <c r="F4" s="14"/>
      <c r="G4" s="14"/>
      <c r="H4" s="15"/>
      <c r="I4" s="13" t="s">
        <v>7</v>
      </c>
      <c r="J4" s="14" t="s">
        <v>8</v>
      </c>
      <c r="K4" s="14"/>
      <c r="L4" s="14"/>
      <c r="M4" s="14"/>
      <c r="N4" s="14"/>
      <c r="O4" s="14"/>
      <c r="P4" s="15"/>
    </row>
    <row r="5" spans="1:16" s="24" customFormat="1" ht="36.75" customHeight="1" thickTop="1" x14ac:dyDescent="0.3">
      <c r="A5" s="16" t="s">
        <v>9</v>
      </c>
      <c r="B5" s="17">
        <v>0</v>
      </c>
      <c r="C5" s="18">
        <v>0.5</v>
      </c>
      <c r="D5" s="19">
        <v>1</v>
      </c>
      <c r="E5" s="20">
        <v>1.5</v>
      </c>
      <c r="F5" s="21">
        <v>2</v>
      </c>
      <c r="G5" s="22">
        <v>0.20238600000000001</v>
      </c>
      <c r="H5" s="23">
        <v>-1.2512199999999999E-3</v>
      </c>
      <c r="I5" s="16" t="s">
        <v>9</v>
      </c>
      <c r="J5" s="17">
        <v>0</v>
      </c>
      <c r="K5" s="18">
        <v>0.5</v>
      </c>
      <c r="L5" s="19">
        <v>1</v>
      </c>
      <c r="M5" s="20">
        <v>1.5</v>
      </c>
      <c r="N5" s="21">
        <v>2</v>
      </c>
      <c r="O5" s="22">
        <v>0.20238600000000001</v>
      </c>
      <c r="P5" s="23">
        <v>-1.2512199999999999E-3</v>
      </c>
    </row>
    <row r="6" spans="1:16" s="24" customFormat="1" ht="29.25" customHeight="1" x14ac:dyDescent="0.3">
      <c r="A6" s="25" t="s">
        <v>10</v>
      </c>
      <c r="B6" s="26">
        <v>1.5E-3</v>
      </c>
      <c r="C6" s="26">
        <v>0.1007</v>
      </c>
      <c r="D6" s="26">
        <v>0.19370000000000001</v>
      </c>
      <c r="E6" s="26">
        <v>0.30399999999999999</v>
      </c>
      <c r="F6" s="26">
        <v>0.40579999999999999</v>
      </c>
      <c r="G6" s="27">
        <v>0.99931000000000003</v>
      </c>
      <c r="H6" s="27"/>
      <c r="I6" s="25" t="s">
        <v>10</v>
      </c>
      <c r="J6" s="25">
        <v>1.5E-3</v>
      </c>
      <c r="K6" s="25">
        <v>0.1007</v>
      </c>
      <c r="L6" s="25">
        <v>0.19370000000000001</v>
      </c>
      <c r="M6" s="25">
        <v>0.30399999999999999</v>
      </c>
      <c r="N6" s="25">
        <v>0.40579999999999999</v>
      </c>
      <c r="O6" s="28">
        <v>0.99931000000000003</v>
      </c>
      <c r="P6" s="28"/>
    </row>
    <row r="7" spans="1:16" s="24" customFormat="1" ht="29.25" customHeight="1" thickBot="1" x14ac:dyDescent="0.35">
      <c r="A7" s="29" t="s">
        <v>11</v>
      </c>
      <c r="B7" s="29" t="s">
        <v>12</v>
      </c>
      <c r="C7" s="30" t="s">
        <v>13</v>
      </c>
      <c r="D7" s="31" t="s">
        <v>14</v>
      </c>
      <c r="E7" s="30" t="s">
        <v>15</v>
      </c>
      <c r="F7" s="30" t="s">
        <v>16</v>
      </c>
      <c r="G7" s="30" t="s">
        <v>17</v>
      </c>
      <c r="H7" s="30" t="s">
        <v>18</v>
      </c>
      <c r="I7" s="30" t="s">
        <v>11</v>
      </c>
      <c r="J7" s="30" t="s">
        <v>19</v>
      </c>
      <c r="K7" s="30" t="s">
        <v>13</v>
      </c>
      <c r="L7" s="30" t="s">
        <v>14</v>
      </c>
      <c r="M7" s="30" t="s">
        <v>15</v>
      </c>
      <c r="N7" s="30" t="s">
        <v>16</v>
      </c>
      <c r="O7" s="30" t="s">
        <v>17</v>
      </c>
      <c r="P7" s="29" t="s">
        <v>18</v>
      </c>
    </row>
    <row r="8" spans="1:16" s="8" customFormat="1" ht="29.25" customHeight="1" thickTop="1" x14ac:dyDescent="0.3">
      <c r="A8" s="32" t="s">
        <v>20</v>
      </c>
      <c r="B8" s="33">
        <v>5</v>
      </c>
      <c r="C8" s="34">
        <v>0.1457</v>
      </c>
      <c r="D8" s="33">
        <v>1</v>
      </c>
      <c r="E8" s="34">
        <f t="shared" ref="E8:E37" si="0">IF($A$8:$A$37&lt;&gt;"",(($C$8:$C$37-$H$5)/$G$5),"")</f>
        <v>0.7260938009546114</v>
      </c>
      <c r="F8" s="35">
        <f t="shared" ref="F8:F37" si="1">IF($A$8:$A$37&lt;&gt;"",ROUND(((60/$B$8:$B$37)*($E$8:$E$37)*$D$8:$D$37),3),"")</f>
        <v>8.7129999999999992</v>
      </c>
      <c r="G8" s="33"/>
      <c r="H8" s="36" t="s">
        <v>21</v>
      </c>
      <c r="I8" s="32" t="s">
        <v>22</v>
      </c>
      <c r="J8" s="33">
        <v>10</v>
      </c>
      <c r="K8" s="34">
        <v>0.26960000000000001</v>
      </c>
      <c r="L8" s="33">
        <v>5</v>
      </c>
      <c r="M8" s="34">
        <f t="shared" ref="M8:M37" si="2">IF($I$8:$I$37&lt;&gt;"",(($K$8:$K$37-$H$5)/$G$5),"")</f>
        <v>1.3382902967596573</v>
      </c>
      <c r="N8" s="35">
        <f t="shared" ref="N8:N37" si="3">IF($I$8:$I$37&lt;&gt;"",ROUND(((60/$J$8:$J$37)*($M$8:$M$37)*$L$8:$L$37),3),"")</f>
        <v>40.149000000000001</v>
      </c>
      <c r="O8" s="33"/>
      <c r="P8" s="33" t="s">
        <v>23</v>
      </c>
    </row>
    <row r="9" spans="1:16" s="8" customFormat="1" ht="29.25" customHeight="1" x14ac:dyDescent="0.3">
      <c r="A9" s="32" t="s">
        <v>24</v>
      </c>
      <c r="B9" s="33">
        <v>5</v>
      </c>
      <c r="C9" s="34">
        <v>0.25340000000000001</v>
      </c>
      <c r="D9" s="33">
        <v>5</v>
      </c>
      <c r="E9" s="34">
        <f t="shared" si="0"/>
        <v>1.258245234354155</v>
      </c>
      <c r="F9" s="35">
        <f t="shared" si="1"/>
        <v>75.495000000000005</v>
      </c>
      <c r="G9" s="33"/>
      <c r="H9" s="36" t="s">
        <v>25</v>
      </c>
      <c r="I9" s="32" t="s">
        <v>26</v>
      </c>
      <c r="J9" s="33">
        <v>5</v>
      </c>
      <c r="K9" s="34">
        <v>0.19409999999999999</v>
      </c>
      <c r="L9" s="33">
        <v>1</v>
      </c>
      <c r="M9" s="34">
        <f t="shared" si="2"/>
        <v>0.96524077752413695</v>
      </c>
      <c r="N9" s="35">
        <f t="shared" si="3"/>
        <v>11.583</v>
      </c>
      <c r="O9" s="33"/>
      <c r="P9" s="36" t="s">
        <v>27</v>
      </c>
    </row>
    <row r="10" spans="1:16" s="8" customFormat="1" ht="29.25" customHeight="1" x14ac:dyDescent="0.3">
      <c r="A10" s="32" t="s">
        <v>28</v>
      </c>
      <c r="B10" s="33">
        <v>10</v>
      </c>
      <c r="C10" s="34">
        <v>0.25719999999999998</v>
      </c>
      <c r="D10" s="33">
        <v>5</v>
      </c>
      <c r="E10" s="34">
        <f t="shared" si="0"/>
        <v>1.2770212366468034</v>
      </c>
      <c r="F10" s="35">
        <f t="shared" si="1"/>
        <v>38.311</v>
      </c>
      <c r="G10" s="33"/>
      <c r="H10" s="36" t="s">
        <v>29</v>
      </c>
      <c r="I10" s="32" t="s">
        <v>30</v>
      </c>
      <c r="J10" s="33">
        <v>25</v>
      </c>
      <c r="K10" s="34">
        <v>0.1774</v>
      </c>
      <c r="L10" s="33">
        <v>1</v>
      </c>
      <c r="M10" s="34">
        <f t="shared" si="2"/>
        <v>0.88272518850118087</v>
      </c>
      <c r="N10" s="35">
        <f t="shared" si="3"/>
        <v>2.1190000000000002</v>
      </c>
      <c r="O10" s="33"/>
      <c r="P10" s="33" t="s">
        <v>31</v>
      </c>
    </row>
    <row r="11" spans="1:16" s="8" customFormat="1" ht="29.25" customHeight="1" x14ac:dyDescent="0.3">
      <c r="A11" s="32" t="s">
        <v>32</v>
      </c>
      <c r="B11" s="33">
        <v>10</v>
      </c>
      <c r="C11" s="34">
        <v>0.36399999999999999</v>
      </c>
      <c r="D11" s="33">
        <v>5</v>
      </c>
      <c r="E11" s="34">
        <f t="shared" si="0"/>
        <v>1.8047257221349302</v>
      </c>
      <c r="F11" s="35">
        <f t="shared" si="1"/>
        <v>54.142000000000003</v>
      </c>
      <c r="G11" s="33"/>
      <c r="H11" s="36" t="s">
        <v>33</v>
      </c>
      <c r="I11" s="32" t="s">
        <v>34</v>
      </c>
      <c r="J11" s="33">
        <v>5</v>
      </c>
      <c r="K11" s="34">
        <v>0.14169999999999999</v>
      </c>
      <c r="L11" s="33">
        <v>1</v>
      </c>
      <c r="M11" s="34">
        <f t="shared" si="2"/>
        <v>0.70632958801498114</v>
      </c>
      <c r="N11" s="35">
        <f t="shared" si="3"/>
        <v>8.4760000000000009</v>
      </c>
      <c r="O11" s="33"/>
      <c r="P11" s="33" t="s">
        <v>35</v>
      </c>
    </row>
    <row r="12" spans="1:16" s="8" customFormat="1" ht="29.25" customHeight="1" x14ac:dyDescent="0.3">
      <c r="A12" s="32" t="s">
        <v>36</v>
      </c>
      <c r="B12" s="33">
        <v>25</v>
      </c>
      <c r="C12" s="34">
        <v>0.25840000000000002</v>
      </c>
      <c r="D12" s="33">
        <v>1</v>
      </c>
      <c r="E12" s="34">
        <f t="shared" si="0"/>
        <v>1.2829505005286927</v>
      </c>
      <c r="F12" s="35">
        <f t="shared" si="1"/>
        <v>3.0790000000000002</v>
      </c>
      <c r="G12" s="33"/>
      <c r="H12" s="36" t="s">
        <v>37</v>
      </c>
      <c r="I12" s="32" t="s">
        <v>38</v>
      </c>
      <c r="J12" s="33">
        <v>10</v>
      </c>
      <c r="K12" s="34">
        <v>0.2681</v>
      </c>
      <c r="L12" s="33">
        <v>1</v>
      </c>
      <c r="M12" s="34">
        <f t="shared" si="2"/>
        <v>1.330878716907296</v>
      </c>
      <c r="N12" s="35">
        <f t="shared" si="3"/>
        <v>7.9850000000000003</v>
      </c>
      <c r="O12" s="33"/>
      <c r="P12" s="36" t="s">
        <v>39</v>
      </c>
    </row>
    <row r="13" spans="1:16" s="8" customFormat="1" ht="29.25" customHeight="1" x14ac:dyDescent="0.3">
      <c r="A13" s="32" t="s">
        <v>40</v>
      </c>
      <c r="B13" s="33">
        <v>5</v>
      </c>
      <c r="C13" s="34">
        <v>0.1195</v>
      </c>
      <c r="D13" s="33">
        <v>1</v>
      </c>
      <c r="E13" s="34">
        <f t="shared" si="0"/>
        <v>0.59663820620003349</v>
      </c>
      <c r="F13" s="35">
        <f t="shared" si="1"/>
        <v>7.16</v>
      </c>
      <c r="G13" s="33"/>
      <c r="H13" s="36" t="s">
        <v>41</v>
      </c>
      <c r="I13" s="32"/>
      <c r="J13" s="33"/>
      <c r="K13" s="34"/>
      <c r="L13" s="33"/>
      <c r="M13" s="34" t="str">
        <f t="shared" si="2"/>
        <v/>
      </c>
      <c r="N13" s="35" t="str">
        <f t="shared" si="3"/>
        <v/>
      </c>
      <c r="O13" s="33"/>
      <c r="P13" s="36"/>
    </row>
    <row r="14" spans="1:16" s="8" customFormat="1" ht="29.25" customHeight="1" x14ac:dyDescent="0.3">
      <c r="A14" s="32" t="s">
        <v>42</v>
      </c>
      <c r="B14" s="33">
        <v>10</v>
      </c>
      <c r="C14" s="34">
        <v>0.1094</v>
      </c>
      <c r="D14" s="33">
        <v>5</v>
      </c>
      <c r="E14" s="34">
        <f t="shared" si="0"/>
        <v>0.54673356852746724</v>
      </c>
      <c r="F14" s="35">
        <f t="shared" si="1"/>
        <v>16.402000000000001</v>
      </c>
      <c r="G14" s="33"/>
      <c r="H14" s="36" t="s">
        <v>43</v>
      </c>
      <c r="I14" s="32"/>
      <c r="J14" s="33"/>
      <c r="K14" s="34"/>
      <c r="L14" s="33"/>
      <c r="M14" s="34" t="str">
        <f t="shared" si="2"/>
        <v/>
      </c>
      <c r="N14" s="35" t="str">
        <f t="shared" si="3"/>
        <v/>
      </c>
      <c r="O14" s="33"/>
      <c r="P14" s="36"/>
    </row>
    <row r="15" spans="1:16" s="8" customFormat="1" ht="29.25" customHeight="1" x14ac:dyDescent="0.3">
      <c r="A15" s="32" t="s">
        <v>44</v>
      </c>
      <c r="B15" s="33">
        <v>5</v>
      </c>
      <c r="C15" s="34">
        <v>0.1046</v>
      </c>
      <c r="D15" s="33">
        <v>5</v>
      </c>
      <c r="E15" s="34">
        <f t="shared" si="0"/>
        <v>0.52301651299991103</v>
      </c>
      <c r="F15" s="35">
        <f t="shared" si="1"/>
        <v>31.381</v>
      </c>
      <c r="G15" s="33"/>
      <c r="H15" s="36" t="s">
        <v>45</v>
      </c>
      <c r="I15" s="32"/>
      <c r="J15" s="33"/>
      <c r="K15" s="34"/>
      <c r="L15" s="33"/>
      <c r="M15" s="34" t="str">
        <f t="shared" si="2"/>
        <v/>
      </c>
      <c r="N15" s="35" t="str">
        <f t="shared" si="3"/>
        <v/>
      </c>
      <c r="O15" s="33"/>
      <c r="P15" s="36"/>
    </row>
    <row r="16" spans="1:16" s="8" customFormat="1" ht="29.25" customHeight="1" x14ac:dyDescent="0.3">
      <c r="A16" s="32" t="s">
        <v>46</v>
      </c>
      <c r="B16" s="33">
        <v>10</v>
      </c>
      <c r="C16" s="34">
        <v>0.252</v>
      </c>
      <c r="D16" s="33">
        <v>1</v>
      </c>
      <c r="E16" s="34">
        <f t="shared" si="0"/>
        <v>1.2513277598252843</v>
      </c>
      <c r="F16" s="35">
        <f t="shared" si="1"/>
        <v>7.508</v>
      </c>
      <c r="G16" s="33"/>
      <c r="H16" s="36" t="s">
        <v>47</v>
      </c>
      <c r="I16" s="32"/>
      <c r="J16" s="33"/>
      <c r="K16" s="34"/>
      <c r="L16" s="33"/>
      <c r="M16" s="34" t="str">
        <f t="shared" si="2"/>
        <v/>
      </c>
      <c r="N16" s="35" t="str">
        <f t="shared" si="3"/>
        <v/>
      </c>
      <c r="O16" s="33"/>
      <c r="P16" s="36"/>
    </row>
    <row r="17" spans="1:16" s="8" customFormat="1" ht="29.25" customHeight="1" x14ac:dyDescent="0.3">
      <c r="A17" s="32" t="s">
        <v>48</v>
      </c>
      <c r="B17" s="33">
        <v>10</v>
      </c>
      <c r="C17" s="34">
        <v>0.3004</v>
      </c>
      <c r="D17" s="33">
        <v>1</v>
      </c>
      <c r="E17" s="34">
        <f t="shared" si="0"/>
        <v>1.4904747363948099</v>
      </c>
      <c r="F17" s="35">
        <f t="shared" si="1"/>
        <v>8.9429999999999996</v>
      </c>
      <c r="G17" s="33"/>
      <c r="H17" s="36" t="s">
        <v>49</v>
      </c>
      <c r="I17" s="32"/>
      <c r="J17" s="33"/>
      <c r="K17" s="34"/>
      <c r="L17" s="33"/>
      <c r="M17" s="34" t="str">
        <f t="shared" si="2"/>
        <v/>
      </c>
      <c r="N17" s="35" t="str">
        <f t="shared" si="3"/>
        <v/>
      </c>
      <c r="O17" s="33"/>
      <c r="P17" s="33"/>
    </row>
    <row r="18" spans="1:16" s="8" customFormat="1" ht="29.25" customHeight="1" x14ac:dyDescent="0.3">
      <c r="A18" s="32" t="s">
        <v>50</v>
      </c>
      <c r="B18" s="33">
        <v>10</v>
      </c>
      <c r="C18" s="34">
        <v>0.15989999999999999</v>
      </c>
      <c r="D18" s="33">
        <v>5</v>
      </c>
      <c r="E18" s="34">
        <f t="shared" si="0"/>
        <v>0.79625675689029862</v>
      </c>
      <c r="F18" s="35">
        <f t="shared" si="1"/>
        <v>23.888000000000002</v>
      </c>
      <c r="G18" s="33"/>
      <c r="H18" s="33" t="s">
        <v>51</v>
      </c>
      <c r="I18" s="32"/>
      <c r="J18" s="33"/>
      <c r="K18" s="34"/>
      <c r="L18" s="33"/>
      <c r="M18" s="34" t="str">
        <f t="shared" si="2"/>
        <v/>
      </c>
      <c r="N18" s="35" t="str">
        <f t="shared" si="3"/>
        <v/>
      </c>
      <c r="O18" s="33"/>
      <c r="P18" s="33"/>
    </row>
    <row r="19" spans="1:16" s="8" customFormat="1" ht="29.25" customHeight="1" x14ac:dyDescent="0.3">
      <c r="A19" s="32" t="s">
        <v>52</v>
      </c>
      <c r="B19" s="33">
        <v>10</v>
      </c>
      <c r="C19" s="34">
        <v>0.30719999999999997</v>
      </c>
      <c r="D19" s="33">
        <v>5</v>
      </c>
      <c r="E19" s="34">
        <f t="shared" si="0"/>
        <v>1.5240738983921811</v>
      </c>
      <c r="F19" s="35">
        <f t="shared" si="1"/>
        <v>45.722000000000001</v>
      </c>
      <c r="G19" s="33"/>
      <c r="H19" s="33" t="s">
        <v>53</v>
      </c>
      <c r="I19" s="32"/>
      <c r="J19" s="33"/>
      <c r="K19" s="34"/>
      <c r="L19" s="33"/>
      <c r="M19" s="34" t="str">
        <f t="shared" si="2"/>
        <v/>
      </c>
      <c r="N19" s="35" t="str">
        <f t="shared" si="3"/>
        <v/>
      </c>
      <c r="O19" s="33"/>
      <c r="P19" s="33"/>
    </row>
    <row r="20" spans="1:16" s="8" customFormat="1" ht="29.25" customHeight="1" x14ac:dyDescent="0.3">
      <c r="A20" s="32" t="s">
        <v>54</v>
      </c>
      <c r="B20" s="33">
        <v>10</v>
      </c>
      <c r="C20" s="34">
        <v>0.17810000000000001</v>
      </c>
      <c r="D20" s="33">
        <v>1</v>
      </c>
      <c r="E20" s="34">
        <f t="shared" si="0"/>
        <v>0.88618392576561622</v>
      </c>
      <c r="F20" s="35">
        <f t="shared" si="1"/>
        <v>5.3170000000000002</v>
      </c>
      <c r="G20" s="33"/>
      <c r="H20" s="33" t="s">
        <v>55</v>
      </c>
      <c r="I20" s="32"/>
      <c r="J20" s="33"/>
      <c r="K20" s="34"/>
      <c r="L20" s="33"/>
      <c r="M20" s="34" t="str">
        <f t="shared" si="2"/>
        <v/>
      </c>
      <c r="N20" s="35" t="str">
        <f t="shared" si="3"/>
        <v/>
      </c>
      <c r="O20" s="33"/>
      <c r="P20" s="33"/>
    </row>
    <row r="21" spans="1:16" s="8" customFormat="1" ht="29.25" customHeight="1" x14ac:dyDescent="0.3">
      <c r="A21" s="32" t="s">
        <v>56</v>
      </c>
      <c r="B21" s="33">
        <v>10</v>
      </c>
      <c r="C21" s="34">
        <v>0.2954</v>
      </c>
      <c r="D21" s="33">
        <v>1</v>
      </c>
      <c r="E21" s="34">
        <f t="shared" si="0"/>
        <v>1.4657694702202722</v>
      </c>
      <c r="F21" s="35">
        <f t="shared" si="1"/>
        <v>8.7949999999999999</v>
      </c>
      <c r="G21" s="33"/>
      <c r="H21" s="33" t="s">
        <v>57</v>
      </c>
      <c r="I21" s="32"/>
      <c r="J21" s="33"/>
      <c r="K21" s="33"/>
      <c r="L21" s="33"/>
      <c r="M21" s="33" t="str">
        <f t="shared" si="2"/>
        <v/>
      </c>
      <c r="N21" s="35" t="str">
        <f t="shared" si="3"/>
        <v/>
      </c>
      <c r="O21" s="33"/>
      <c r="P21" s="33"/>
    </row>
    <row r="22" spans="1:16" s="8" customFormat="1" ht="29.25" customHeight="1" x14ac:dyDescent="0.3">
      <c r="A22" s="32" t="s">
        <v>58</v>
      </c>
      <c r="B22" s="33">
        <v>5</v>
      </c>
      <c r="C22" s="34">
        <v>0.15559999999999999</v>
      </c>
      <c r="D22" s="33">
        <v>5</v>
      </c>
      <c r="E22" s="34">
        <f t="shared" si="0"/>
        <v>0.77501022798019614</v>
      </c>
      <c r="F22" s="35">
        <f t="shared" si="1"/>
        <v>46.500999999999998</v>
      </c>
      <c r="G22" s="33"/>
      <c r="H22" s="33" t="s">
        <v>59</v>
      </c>
      <c r="I22" s="32"/>
      <c r="J22" s="33"/>
      <c r="K22" s="33"/>
      <c r="L22" s="33"/>
      <c r="M22" s="33" t="str">
        <f t="shared" si="2"/>
        <v/>
      </c>
      <c r="N22" s="35" t="str">
        <f t="shared" si="3"/>
        <v/>
      </c>
      <c r="O22" s="33"/>
      <c r="P22" s="33"/>
    </row>
    <row r="23" spans="1:16" s="8" customFormat="1" ht="29.25" customHeight="1" x14ac:dyDescent="0.3">
      <c r="A23" s="32" t="s">
        <v>60</v>
      </c>
      <c r="B23" s="33">
        <v>25</v>
      </c>
      <c r="C23" s="34">
        <v>0.2167</v>
      </c>
      <c r="D23" s="33">
        <v>1</v>
      </c>
      <c r="E23" s="34">
        <f t="shared" si="0"/>
        <v>1.0769085806330476</v>
      </c>
      <c r="F23" s="35">
        <f t="shared" si="1"/>
        <v>2.585</v>
      </c>
      <c r="G23" s="33"/>
      <c r="H23" s="33" t="s">
        <v>61</v>
      </c>
      <c r="I23" s="32"/>
      <c r="J23" s="33"/>
      <c r="K23" s="33"/>
      <c r="L23" s="33"/>
      <c r="M23" s="33" t="str">
        <f t="shared" si="2"/>
        <v/>
      </c>
      <c r="N23" s="35" t="str">
        <f t="shared" si="3"/>
        <v/>
      </c>
      <c r="O23" s="33"/>
      <c r="P23" s="33"/>
    </row>
    <row r="24" spans="1:16" s="8" customFormat="1" ht="29.25" customHeight="1" x14ac:dyDescent="0.3">
      <c r="A24" s="32" t="s">
        <v>62</v>
      </c>
      <c r="B24" s="33">
        <v>10</v>
      </c>
      <c r="C24" s="34">
        <v>0.21129999999999999</v>
      </c>
      <c r="D24" s="33">
        <v>1</v>
      </c>
      <c r="E24" s="34">
        <f t="shared" si="0"/>
        <v>1.0502268931645469</v>
      </c>
      <c r="F24" s="35">
        <f t="shared" si="1"/>
        <v>6.3010000000000002</v>
      </c>
      <c r="G24" s="33"/>
      <c r="H24" s="33" t="s">
        <v>63</v>
      </c>
      <c r="I24" s="32"/>
      <c r="J24" s="33"/>
      <c r="K24" s="33"/>
      <c r="L24" s="33"/>
      <c r="M24" s="33" t="str">
        <f t="shared" si="2"/>
        <v/>
      </c>
      <c r="N24" s="35" t="str">
        <f t="shared" si="3"/>
        <v/>
      </c>
      <c r="O24" s="33"/>
      <c r="P24" s="33"/>
    </row>
    <row r="25" spans="1:16" s="8" customFormat="1" ht="29.25" customHeight="1" x14ac:dyDescent="0.3">
      <c r="A25" s="32" t="s">
        <v>64</v>
      </c>
      <c r="B25" s="33">
        <v>10</v>
      </c>
      <c r="C25" s="34">
        <v>0.38840000000000002</v>
      </c>
      <c r="D25" s="33">
        <v>5</v>
      </c>
      <c r="E25" s="34">
        <f t="shared" si="0"/>
        <v>1.9252874210666746</v>
      </c>
      <c r="F25" s="35">
        <f t="shared" si="1"/>
        <v>57.759</v>
      </c>
      <c r="G25" s="33"/>
      <c r="H25" s="33" t="s">
        <v>65</v>
      </c>
      <c r="I25" s="32"/>
      <c r="J25" s="33"/>
      <c r="K25" s="33"/>
      <c r="L25" s="33"/>
      <c r="M25" s="33" t="str">
        <f t="shared" si="2"/>
        <v/>
      </c>
      <c r="N25" s="35" t="str">
        <f t="shared" si="3"/>
        <v/>
      </c>
      <c r="O25" s="33"/>
      <c r="P25" s="33"/>
    </row>
    <row r="26" spans="1:16" s="8" customFormat="1" ht="29.25" customHeight="1" x14ac:dyDescent="0.3">
      <c r="A26" s="33" t="s">
        <v>66</v>
      </c>
      <c r="B26" s="33">
        <v>10</v>
      </c>
      <c r="C26" s="33">
        <v>0.22750000000000001</v>
      </c>
      <c r="D26" s="33">
        <v>1</v>
      </c>
      <c r="E26" s="33">
        <f t="shared" si="0"/>
        <v>1.1302719555700493</v>
      </c>
      <c r="F26" s="33">
        <f t="shared" si="1"/>
        <v>6.782</v>
      </c>
      <c r="G26" s="33"/>
      <c r="H26" s="33" t="s">
        <v>67</v>
      </c>
      <c r="I26" s="32"/>
      <c r="J26" s="33"/>
      <c r="K26" s="33"/>
      <c r="L26" s="33"/>
      <c r="M26" s="33" t="str">
        <f t="shared" si="2"/>
        <v/>
      </c>
      <c r="N26" s="35" t="str">
        <f t="shared" si="3"/>
        <v/>
      </c>
      <c r="O26" s="33"/>
      <c r="P26" s="33"/>
    </row>
    <row r="27" spans="1:16" s="8" customFormat="1" ht="29.25" customHeight="1" x14ac:dyDescent="0.3">
      <c r="A27" s="32" t="s">
        <v>68</v>
      </c>
      <c r="B27" s="33">
        <v>5</v>
      </c>
      <c r="C27" s="34">
        <v>0.31690000000000002</v>
      </c>
      <c r="D27" s="33">
        <v>1</v>
      </c>
      <c r="E27" s="34">
        <f t="shared" si="0"/>
        <v>1.5720021147707846</v>
      </c>
      <c r="F27" s="35">
        <f t="shared" si="1"/>
        <v>18.864000000000001</v>
      </c>
      <c r="G27" s="33"/>
      <c r="H27" s="33" t="s">
        <v>69</v>
      </c>
      <c r="I27" s="32"/>
      <c r="J27" s="33"/>
      <c r="K27" s="33"/>
      <c r="L27" s="33"/>
      <c r="M27" s="33" t="str">
        <f t="shared" si="2"/>
        <v/>
      </c>
      <c r="N27" s="35" t="str">
        <f t="shared" si="3"/>
        <v/>
      </c>
      <c r="O27" s="33"/>
      <c r="P27" s="33"/>
    </row>
    <row r="28" spans="1:16" s="8" customFormat="1" ht="29.25" customHeight="1" x14ac:dyDescent="0.3">
      <c r="A28" s="32" t="s">
        <v>70</v>
      </c>
      <c r="B28" s="33">
        <v>25</v>
      </c>
      <c r="C28" s="34">
        <v>0.1032</v>
      </c>
      <c r="D28" s="33">
        <v>1</v>
      </c>
      <c r="E28" s="34">
        <f t="shared" si="0"/>
        <v>0.51609903847104044</v>
      </c>
      <c r="F28" s="35">
        <f t="shared" si="1"/>
        <v>1.2390000000000001</v>
      </c>
      <c r="G28" s="33"/>
      <c r="H28" s="33" t="s">
        <v>71</v>
      </c>
      <c r="I28" s="32"/>
      <c r="J28" s="33"/>
      <c r="K28" s="33"/>
      <c r="L28" s="33"/>
      <c r="M28" s="33" t="str">
        <f t="shared" si="2"/>
        <v/>
      </c>
      <c r="N28" s="35" t="str">
        <f t="shared" si="3"/>
        <v/>
      </c>
      <c r="O28" s="33"/>
      <c r="P28" s="33"/>
    </row>
    <row r="29" spans="1:16" s="8" customFormat="1" ht="29.25" customHeight="1" x14ac:dyDescent="0.3">
      <c r="A29" s="32" t="s">
        <v>72</v>
      </c>
      <c r="B29" s="33">
        <v>25</v>
      </c>
      <c r="C29" s="34">
        <v>0.121</v>
      </c>
      <c r="D29" s="33">
        <v>1</v>
      </c>
      <c r="E29" s="34">
        <f t="shared" si="0"/>
        <v>0.6040497860523949</v>
      </c>
      <c r="F29" s="35">
        <f t="shared" si="1"/>
        <v>1.45</v>
      </c>
      <c r="G29" s="33"/>
      <c r="H29" s="33" t="s">
        <v>73</v>
      </c>
      <c r="I29" s="32"/>
      <c r="J29" s="33"/>
      <c r="K29" s="33"/>
      <c r="L29" s="33"/>
      <c r="M29" s="33" t="str">
        <f t="shared" si="2"/>
        <v/>
      </c>
      <c r="N29" s="35" t="str">
        <f t="shared" si="3"/>
        <v/>
      </c>
      <c r="O29" s="33"/>
      <c r="P29" s="33"/>
    </row>
    <row r="30" spans="1:16" s="8" customFormat="1" ht="29.25" customHeight="1" x14ac:dyDescent="0.3">
      <c r="A30" s="32" t="s">
        <v>74</v>
      </c>
      <c r="B30" s="33">
        <v>10</v>
      </c>
      <c r="C30" s="34">
        <v>0.26</v>
      </c>
      <c r="D30" s="33">
        <v>5</v>
      </c>
      <c r="E30" s="34">
        <f t="shared" si="0"/>
        <v>1.2908561857045449</v>
      </c>
      <c r="F30" s="35">
        <f t="shared" si="1"/>
        <v>38.725999999999999</v>
      </c>
      <c r="G30" s="33"/>
      <c r="H30" s="33" t="s">
        <v>75</v>
      </c>
      <c r="I30" s="32"/>
      <c r="J30" s="33"/>
      <c r="K30" s="33"/>
      <c r="L30" s="33"/>
      <c r="M30" s="33" t="str">
        <f t="shared" si="2"/>
        <v/>
      </c>
      <c r="N30" s="35" t="str">
        <f t="shared" si="3"/>
        <v/>
      </c>
      <c r="O30" s="33"/>
      <c r="P30" s="33"/>
    </row>
    <row r="31" spans="1:16" s="8" customFormat="1" ht="29.25" customHeight="1" x14ac:dyDescent="0.3">
      <c r="A31" s="32" t="s">
        <v>76</v>
      </c>
      <c r="B31" s="33">
        <v>10</v>
      </c>
      <c r="C31" s="34">
        <v>0.2059</v>
      </c>
      <c r="D31" s="33">
        <v>5</v>
      </c>
      <c r="E31" s="34">
        <f t="shared" si="0"/>
        <v>1.0235452056960461</v>
      </c>
      <c r="F31" s="35">
        <f>IF($A$8:$A$37&lt;&gt;"",ROUND(((60/$B$8:$B$37)*($E$8:$E$37)*$D$8:$D$37),3),"")</f>
        <v>30.706</v>
      </c>
      <c r="G31" s="33"/>
      <c r="H31" s="33" t="s">
        <v>77</v>
      </c>
      <c r="I31" s="32"/>
      <c r="J31" s="33"/>
      <c r="K31" s="33"/>
      <c r="L31" s="33"/>
      <c r="M31" s="33" t="str">
        <f t="shared" si="2"/>
        <v/>
      </c>
      <c r="N31" s="35" t="str">
        <f t="shared" si="3"/>
        <v/>
      </c>
      <c r="O31" s="33"/>
      <c r="P31" s="33"/>
    </row>
    <row r="32" spans="1:16" s="8" customFormat="1" ht="29.25" customHeight="1" x14ac:dyDescent="0.3">
      <c r="A32" s="32" t="s">
        <v>78</v>
      </c>
      <c r="B32" s="33">
        <v>5</v>
      </c>
      <c r="C32" s="34">
        <v>0.10970000000000001</v>
      </c>
      <c r="D32" s="33">
        <v>1</v>
      </c>
      <c r="E32" s="34">
        <f t="shared" si="0"/>
        <v>0.54821588449793957</v>
      </c>
      <c r="F32" s="35">
        <f t="shared" si="1"/>
        <v>6.5789999999999997</v>
      </c>
      <c r="G32" s="33"/>
      <c r="H32" s="33" t="s">
        <v>79</v>
      </c>
      <c r="I32" s="32"/>
      <c r="J32" s="33"/>
      <c r="K32" s="33"/>
      <c r="L32" s="33"/>
      <c r="M32" s="33" t="str">
        <f t="shared" si="2"/>
        <v/>
      </c>
      <c r="N32" s="35" t="str">
        <f t="shared" si="3"/>
        <v/>
      </c>
      <c r="O32" s="33"/>
      <c r="P32" s="33"/>
    </row>
    <row r="33" spans="1:16" s="8" customFormat="1" ht="29.25" customHeight="1" x14ac:dyDescent="0.3">
      <c r="A33" s="32" t="s">
        <v>80</v>
      </c>
      <c r="B33" s="33">
        <v>10</v>
      </c>
      <c r="C33" s="34">
        <v>0.2465</v>
      </c>
      <c r="D33" s="33">
        <v>5</v>
      </c>
      <c r="E33" s="34">
        <f t="shared" si="0"/>
        <v>1.2241519670332928</v>
      </c>
      <c r="F33" s="35">
        <f t="shared" si="1"/>
        <v>36.725000000000001</v>
      </c>
      <c r="G33" s="33"/>
      <c r="H33" s="33" t="s">
        <v>81</v>
      </c>
      <c r="I33" s="32"/>
      <c r="J33" s="33"/>
      <c r="K33" s="33"/>
      <c r="L33" s="33"/>
      <c r="M33" s="33" t="str">
        <f t="shared" si="2"/>
        <v/>
      </c>
      <c r="N33" s="35" t="str">
        <f t="shared" si="3"/>
        <v/>
      </c>
      <c r="O33" s="33"/>
      <c r="P33" s="33"/>
    </row>
    <row r="34" spans="1:16" s="8" customFormat="1" ht="29.25" customHeight="1" x14ac:dyDescent="0.3">
      <c r="A34" s="32" t="s">
        <v>74</v>
      </c>
      <c r="B34" s="33">
        <v>10</v>
      </c>
      <c r="C34" s="34">
        <v>0.29120000000000001</v>
      </c>
      <c r="D34" s="33">
        <v>5</v>
      </c>
      <c r="E34" s="34">
        <f t="shared" si="0"/>
        <v>1.4450170466336605</v>
      </c>
      <c r="F34" s="35">
        <f t="shared" si="1"/>
        <v>43.350999999999999</v>
      </c>
      <c r="G34" s="33"/>
      <c r="H34" s="33" t="s">
        <v>82</v>
      </c>
      <c r="I34" s="32"/>
      <c r="J34" s="33"/>
      <c r="K34" s="33"/>
      <c r="L34" s="33"/>
      <c r="M34" s="33" t="str">
        <f t="shared" si="2"/>
        <v/>
      </c>
      <c r="N34" s="35" t="str">
        <f t="shared" si="3"/>
        <v/>
      </c>
      <c r="O34" s="33"/>
      <c r="P34" s="33"/>
    </row>
    <row r="35" spans="1:16" s="8" customFormat="1" ht="29.25" customHeight="1" x14ac:dyDescent="0.3">
      <c r="A35" s="32" t="s">
        <v>83</v>
      </c>
      <c r="B35" s="33">
        <v>5</v>
      </c>
      <c r="C35" s="34">
        <v>0.30399999999999999</v>
      </c>
      <c r="D35" s="33">
        <v>1</v>
      </c>
      <c r="E35" s="34">
        <f t="shared" si="0"/>
        <v>1.5082625280404769</v>
      </c>
      <c r="F35" s="35">
        <f t="shared" si="1"/>
        <v>18.099</v>
      </c>
      <c r="G35" s="33"/>
      <c r="H35" s="33" t="s">
        <v>84</v>
      </c>
      <c r="I35" s="32"/>
      <c r="J35" s="33"/>
      <c r="K35" s="33"/>
      <c r="L35" s="33"/>
      <c r="M35" s="33" t="str">
        <f t="shared" si="2"/>
        <v/>
      </c>
      <c r="N35" s="35" t="str">
        <f t="shared" si="3"/>
        <v/>
      </c>
      <c r="O35" s="33"/>
      <c r="P35" s="33"/>
    </row>
    <row r="36" spans="1:16" s="8" customFormat="1" ht="29.25" customHeight="1" x14ac:dyDescent="0.3">
      <c r="A36" s="32" t="s">
        <v>85</v>
      </c>
      <c r="B36" s="33">
        <v>10</v>
      </c>
      <c r="C36" s="34">
        <v>0.2341</v>
      </c>
      <c r="D36" s="33">
        <v>5</v>
      </c>
      <c r="E36" s="34">
        <f t="shared" si="0"/>
        <v>1.1628829069204392</v>
      </c>
      <c r="F36" s="35">
        <f t="shared" si="1"/>
        <v>34.886000000000003</v>
      </c>
      <c r="G36" s="33"/>
      <c r="H36" s="33" t="s">
        <v>86</v>
      </c>
      <c r="I36" s="32"/>
      <c r="J36" s="33"/>
      <c r="K36" s="33"/>
      <c r="L36" s="33"/>
      <c r="M36" s="33" t="str">
        <f t="shared" si="2"/>
        <v/>
      </c>
      <c r="N36" s="35" t="str">
        <f t="shared" si="3"/>
        <v/>
      </c>
      <c r="O36" s="33"/>
      <c r="P36" s="33"/>
    </row>
    <row r="37" spans="1:16" s="8" customFormat="1" ht="29.25" customHeight="1" thickBot="1" x14ac:dyDescent="0.35">
      <c r="A37" s="32" t="s">
        <v>87</v>
      </c>
      <c r="B37" s="33">
        <v>10</v>
      </c>
      <c r="C37" s="34">
        <v>0.20710000000000001</v>
      </c>
      <c r="D37" s="33">
        <v>5</v>
      </c>
      <c r="E37" s="34">
        <f t="shared" si="0"/>
        <v>1.0294744695779352</v>
      </c>
      <c r="F37" s="35">
        <f t="shared" si="1"/>
        <v>30.884</v>
      </c>
      <c r="G37" s="33"/>
      <c r="H37" s="33" t="s">
        <v>88</v>
      </c>
      <c r="I37" s="32"/>
      <c r="J37" s="33"/>
      <c r="K37" s="33"/>
      <c r="L37" s="33"/>
      <c r="M37" s="33" t="str">
        <f t="shared" si="2"/>
        <v/>
      </c>
      <c r="N37" s="35" t="str">
        <f t="shared" si="3"/>
        <v/>
      </c>
      <c r="O37" s="33"/>
      <c r="P37" s="33"/>
    </row>
    <row r="38" spans="1:16" s="8" customFormat="1" ht="30" customHeight="1" thickTop="1" x14ac:dyDescent="0.4">
      <c r="A38" s="37"/>
      <c r="B38" s="38"/>
      <c r="C38" s="39"/>
      <c r="D38" s="39"/>
      <c r="E38" s="39" t="s">
        <v>89</v>
      </c>
      <c r="F38" s="39"/>
      <c r="G38" s="39" t="s">
        <v>90</v>
      </c>
      <c r="H38" s="39"/>
      <c r="I38" s="39"/>
      <c r="J38" s="39"/>
      <c r="K38" s="39"/>
      <c r="L38" s="39"/>
      <c r="M38" s="39" t="s">
        <v>89</v>
      </c>
      <c r="N38" s="39"/>
      <c r="O38" s="39" t="s">
        <v>91</v>
      </c>
      <c r="P38" s="39"/>
    </row>
    <row r="39" spans="1:16" s="8" customFormat="1" ht="30" customHeight="1" x14ac:dyDescent="0.3">
      <c r="C39" s="40"/>
      <c r="D39" s="40"/>
      <c r="E39" s="40" t="s">
        <v>92</v>
      </c>
      <c r="F39" s="40"/>
      <c r="G39" s="40" t="s">
        <v>93</v>
      </c>
      <c r="H39" s="40"/>
      <c r="I39" s="40"/>
      <c r="J39" s="40"/>
      <c r="K39" s="40"/>
      <c r="L39" s="40"/>
      <c r="M39" s="40" t="s">
        <v>92</v>
      </c>
      <c r="N39" s="40"/>
      <c r="O39" s="40" t="s">
        <v>93</v>
      </c>
      <c r="P39" s="40"/>
    </row>
  </sheetData>
  <mergeCells count="20">
    <mergeCell ref="O38:P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38:N38"/>
    <mergeCell ref="B1:C1"/>
    <mergeCell ref="J1:K1"/>
    <mergeCell ref="B4:G4"/>
    <mergeCell ref="J4:O4"/>
    <mergeCell ref="G6:H6"/>
    <mergeCell ref="O6:P6"/>
  </mergeCells>
  <phoneticPr fontId="3" type="noConversion"/>
  <pageMargins left="0.6875" right="0.70866141732283472" top="1.7322834645669292" bottom="0.91666666666666663" header="0.78740157480314965" footer="0.59055118110236227"/>
  <pageSetup paperSize="9" scale="50" orientation="portrait" r:id="rId1"/>
  <headerFooter>
    <oddHeader>&amp;L&amp;G&amp;C&amp;"KBIZ한마음고딕 B,굵게"&amp;48&amp;K00-046총질소 시험기록부</oddHeader>
    <oddFooter>&amp;C&amp;"KBIZ한마음고딕 B,굵게"&amp;48&amp;K00-048리뉴어스주식회사-수질분석센터</oddFooter>
  </headerFooter>
  <colBreaks count="1" manualBreakCount="1">
    <brk id="8" max="38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Spinner 1">
              <controlPr defaultSize="0" print="0" autoPict="0" macro="[1]!쪼회">
                <anchor moveWithCells="1" sizeWithCells="1">
                  <from>
                    <xdr:col>16</xdr:col>
                    <xdr:colOff>1133475</xdr:colOff>
                    <xdr:row>2</xdr:row>
                    <xdr:rowOff>276225</xdr:rowOff>
                  </from>
                  <to>
                    <xdr:col>17</xdr:col>
                    <xdr:colOff>104775</xdr:colOff>
                    <xdr:row>3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TN</vt:lpstr>
      <vt:lpstr>TN!Print_Area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2026-04-15T07:13:13Z</dcterms:created>
  <dcterms:modified xsi:type="dcterms:W3CDTF">2026-04-15T07:14:12Z</dcterms:modified>
</cp:coreProperties>
</file>