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onu\OneDrive\바탕 화면\"/>
    </mc:Choice>
  </mc:AlternateContent>
  <xr:revisionPtr revIDLastSave="0" documentId="13_ncr:1_{A13A4533-0265-4DEC-8B05-5DC2550DD414}" xr6:coauthVersionLast="47" xr6:coauthVersionMax="47" xr10:uidLastSave="{00000000-0000-0000-0000-000000000000}"/>
  <bookViews>
    <workbookView xWindow="-120" yWindow="-120" windowWidth="38640" windowHeight="21120" xr2:uid="{5A4BC5BA-0B81-4DC1-A0FD-6601BA681992}"/>
  </bookViews>
  <sheets>
    <sheet name="N-Hexan" sheetId="1" r:id="rId1"/>
  </sheets>
  <externalReferences>
    <externalReference r:id="rId2"/>
  </externalReferences>
  <definedNames>
    <definedName name="BOD자료A">#REF!</definedName>
    <definedName name="BOD자료B">#REF!</definedName>
    <definedName name="COD자료A">#REF!</definedName>
    <definedName name="COD자료B">#REF!</definedName>
    <definedName name="NH3자료A">#REF!</definedName>
    <definedName name="NH3자료B">#REF!</definedName>
    <definedName name="NHexan자료A">#REF!</definedName>
    <definedName name="NHexan자료B">#REF!</definedName>
    <definedName name="NO2자료A">#REF!</definedName>
    <definedName name="NO2자료B">#REF!</definedName>
    <definedName name="NO3자료A">#REF!</definedName>
    <definedName name="NO3자료B">#REF!</definedName>
    <definedName name="NPOC자료A">#REF!</definedName>
    <definedName name="NPOC자료B">#REF!</definedName>
    <definedName name="Phenolic자료A">#REF!</definedName>
    <definedName name="Phenolic자료B">#REF!</definedName>
    <definedName name="PO4자료A">#REF!</definedName>
    <definedName name="PO4자료B">#REF!</definedName>
    <definedName name="_xlnm.Print_Area" localSheetId="0">'N-Hexan'!$A$1:$H$39</definedName>
    <definedName name="SS자료A">#REF!</definedName>
    <definedName name="SS자료B">#REF!</definedName>
    <definedName name="TCIC자료A">#REF!</definedName>
    <definedName name="TCIC자료B">#REF!</definedName>
    <definedName name="TN자료A">#REF!</definedName>
    <definedName name="TN자료B">#REF!</definedName>
    <definedName name="TP자료A">#REF!</definedName>
    <definedName name="TP자료B">#REF!</definedName>
    <definedName name="TS자료A">#REF!</definedName>
    <definedName name="TS자료B">#REF!</definedName>
    <definedName name="VS자료A">#REF!</definedName>
    <definedName name="VS자료B">#REF!</definedName>
    <definedName name="Z_2475CC25_82DC_4A5E_985D_16382096585A_.wvu.PrintArea" localSheetId="0" hidden="1">'N-Hexan'!$A$1:$P$39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7" i="1" l="1"/>
  <c r="M37" i="1"/>
  <c r="G37" i="1"/>
  <c r="E37" i="1"/>
  <c r="O36" i="1"/>
  <c r="M36" i="1"/>
  <c r="G36" i="1"/>
  <c r="E36" i="1"/>
  <c r="O35" i="1"/>
  <c r="M35" i="1"/>
  <c r="G35" i="1"/>
  <c r="E35" i="1"/>
  <c r="O34" i="1"/>
  <c r="M34" i="1"/>
  <c r="G34" i="1"/>
  <c r="E34" i="1"/>
  <c r="O33" i="1"/>
  <c r="M33" i="1"/>
  <c r="G33" i="1"/>
  <c r="E33" i="1"/>
  <c r="O32" i="1"/>
  <c r="M32" i="1"/>
  <c r="G32" i="1"/>
  <c r="E32" i="1"/>
  <c r="O31" i="1"/>
  <c r="M31" i="1"/>
  <c r="G31" i="1"/>
  <c r="E31" i="1"/>
  <c r="O30" i="1"/>
  <c r="M30" i="1"/>
  <c r="G30" i="1"/>
  <c r="E30" i="1"/>
  <c r="O29" i="1"/>
  <c r="M29" i="1"/>
  <c r="G29" i="1"/>
  <c r="E29" i="1"/>
  <c r="O28" i="1"/>
  <c r="M28" i="1"/>
  <c r="G28" i="1"/>
  <c r="E28" i="1"/>
  <c r="R27" i="1"/>
  <c r="O27" i="1"/>
  <c r="M27" i="1"/>
  <c r="G27" i="1"/>
  <c r="E27" i="1"/>
  <c r="R26" i="1"/>
  <c r="O26" i="1"/>
  <c r="M26" i="1"/>
  <c r="G26" i="1"/>
  <c r="E26" i="1"/>
  <c r="R25" i="1"/>
  <c r="O25" i="1"/>
  <c r="M25" i="1"/>
  <c r="G25" i="1"/>
  <c r="E25" i="1"/>
  <c r="R24" i="1"/>
  <c r="O24" i="1"/>
  <c r="M24" i="1"/>
  <c r="G24" i="1"/>
  <c r="E24" i="1"/>
  <c r="R23" i="1"/>
  <c r="O23" i="1"/>
  <c r="M23" i="1"/>
  <c r="G23" i="1"/>
  <c r="E23" i="1"/>
  <c r="R22" i="1"/>
  <c r="O22" i="1"/>
  <c r="M22" i="1"/>
  <c r="G22" i="1"/>
  <c r="E22" i="1"/>
  <c r="R21" i="1"/>
  <c r="O21" i="1"/>
  <c r="M21" i="1"/>
  <c r="G21" i="1"/>
  <c r="E21" i="1"/>
  <c r="R20" i="1"/>
  <c r="O20" i="1"/>
  <c r="M20" i="1"/>
  <c r="G20" i="1"/>
  <c r="E20" i="1"/>
  <c r="R19" i="1"/>
  <c r="O19" i="1"/>
  <c r="M19" i="1"/>
  <c r="G19" i="1"/>
  <c r="E19" i="1"/>
  <c r="R18" i="1"/>
  <c r="O18" i="1"/>
  <c r="M18" i="1"/>
  <c r="G18" i="1"/>
  <c r="E18" i="1"/>
  <c r="R17" i="1"/>
  <c r="O17" i="1"/>
  <c r="M17" i="1"/>
  <c r="R16" i="1"/>
  <c r="O16" i="1"/>
  <c r="M16" i="1"/>
  <c r="E16" i="1"/>
  <c r="G16" i="1" s="1"/>
  <c r="R15" i="1"/>
  <c r="O15" i="1"/>
  <c r="M15" i="1"/>
  <c r="R14" i="1"/>
  <c r="O14" i="1"/>
  <c r="M14" i="1"/>
  <c r="R13" i="1"/>
  <c r="O13" i="1"/>
  <c r="M13" i="1"/>
  <c r="R12" i="1"/>
  <c r="O12" i="1"/>
  <c r="M12" i="1"/>
  <c r="E12" i="1"/>
  <c r="G12" i="1" s="1"/>
  <c r="R11" i="1"/>
  <c r="O11" i="1"/>
  <c r="M11" i="1"/>
  <c r="R10" i="1"/>
  <c r="O10" i="1"/>
  <c r="M10" i="1"/>
  <c r="R9" i="1"/>
  <c r="O9" i="1"/>
  <c r="M9" i="1"/>
  <c r="R8" i="1"/>
  <c r="O8" i="1"/>
  <c r="M8" i="1"/>
  <c r="E8" i="1"/>
  <c r="G8" i="1" s="1"/>
  <c r="R7" i="1"/>
  <c r="M7" i="1"/>
  <c r="E7" i="1"/>
  <c r="E15" i="1" s="1"/>
  <c r="G15" i="1" s="1"/>
  <c r="R6" i="1"/>
  <c r="J1" i="1"/>
  <c r="E9" i="1" l="1"/>
  <c r="G9" i="1" s="1"/>
  <c r="E13" i="1"/>
  <c r="G13" i="1" s="1"/>
  <c r="E17" i="1"/>
  <c r="G17" i="1" s="1"/>
  <c r="E10" i="1"/>
  <c r="G10" i="1" s="1"/>
  <c r="E14" i="1"/>
  <c r="G14" i="1" s="1"/>
  <c r="E11" i="1"/>
  <c r="G11" i="1" s="1"/>
</calcChain>
</file>

<file path=xl/sharedStrings.xml><?xml version="1.0" encoding="utf-8"?>
<sst xmlns="http://schemas.openxmlformats.org/spreadsheetml/2006/main" count="67" uniqueCount="48">
  <si>
    <t>▧ 문서번호</t>
    <phoneticPr fontId="3" type="noConversion"/>
  </si>
  <si>
    <t>▧ 분석방법</t>
  </si>
  <si>
    <t>ES 04302.1b 노말헥산 추출물질</t>
    <phoneticPr fontId="3" type="noConversion"/>
  </si>
  <si>
    <t>▧ 결과표시</t>
  </si>
  <si>
    <t>총노말헥산추출물질(㎎/L) = ([a]시험전후 증발용기무게-[b]바탕시험 전후 증발용기무게) ˟ 1000 ÷ 시료량</t>
    <phoneticPr fontId="3" type="noConversion"/>
  </si>
  <si>
    <t>▧ 관련근거</t>
  </si>
  <si>
    <t>1. 공공폐수처리시설 설치 및 운영관리지침(8차개정) "공공폐수처리시설의 수질검사" 항</t>
  </si>
  <si>
    <t>2. 국가폐수공공처리시설(서부권역) 개량 민간투자사업 운영계획서(20년안) - 수질분석계획</t>
  </si>
  <si>
    <t>구분</t>
    <phoneticPr fontId="3" type="noConversion"/>
  </si>
  <si>
    <t>시료량(mL)</t>
    <phoneticPr fontId="3" type="noConversion"/>
  </si>
  <si>
    <t>건조전 무게(g)</t>
    <phoneticPr fontId="3" type="noConversion"/>
  </si>
  <si>
    <t>건조후 무게(g)</t>
    <phoneticPr fontId="3" type="noConversion"/>
  </si>
  <si>
    <t>무게차(g)</t>
    <phoneticPr fontId="3" type="noConversion"/>
  </si>
  <si>
    <t>희석배수</t>
    <phoneticPr fontId="3" type="noConversion"/>
  </si>
  <si>
    <t>농도(mg/L)</t>
    <phoneticPr fontId="3" type="noConversion"/>
  </si>
  <si>
    <t>Remark</t>
  </si>
  <si>
    <t>시료량</t>
    <phoneticPr fontId="3" type="noConversion"/>
  </si>
  <si>
    <t>건조전 무게</t>
    <phoneticPr fontId="3" type="noConversion"/>
  </si>
  <si>
    <t>건조후 무게</t>
    <phoneticPr fontId="3" type="noConversion"/>
  </si>
  <si>
    <t>무게차</t>
    <phoneticPr fontId="3" type="noConversion"/>
  </si>
  <si>
    <t>농도</t>
    <phoneticPr fontId="3" type="noConversion"/>
  </si>
  <si>
    <t>바탕시료</t>
    <phoneticPr fontId="3" type="noConversion"/>
  </si>
  <si>
    <t>-</t>
    <phoneticPr fontId="3" type="noConversion"/>
  </si>
  <si>
    <t>㈜한국환경사업단</t>
  </si>
  <si>
    <t>03-18-01</t>
  </si>
  <si>
    <t>여수환경산업</t>
  </si>
  <si>
    <t>03-18-02</t>
  </si>
  <si>
    <t>씨이케이㈜</t>
  </si>
  <si>
    <t>03-18-03</t>
  </si>
  <si>
    <t>오라이온코리아㈜</t>
  </si>
  <si>
    <t>03-18-04</t>
  </si>
  <si>
    <t>여수시청(폐기물소각장)</t>
  </si>
  <si>
    <t>03-18-05</t>
  </si>
  <si>
    <t>㈜와이엔텍(6매립장)</t>
  </si>
  <si>
    <t>03-18-06</t>
  </si>
  <si>
    <t>㈜와이엔텍(5매립장)</t>
  </si>
  <si>
    <t>03-18-07</t>
  </si>
  <si>
    <t>㈜와이엔텍</t>
  </si>
  <si>
    <t>03-18-08</t>
  </si>
  <si>
    <t>여수시청[위생매립장 월내처리장]</t>
  </si>
  <si>
    <t>03-18-09</t>
  </si>
  <si>
    <t>지에스칼텍스(주)여수공장</t>
  </si>
  <si>
    <t>03-18-10</t>
  </si>
  <si>
    <t>NHEXAN - 분석담당자</t>
    <phoneticPr fontId="3" type="noConversion"/>
  </si>
  <si>
    <t>기술책임자</t>
    <phoneticPr fontId="3" type="noConversion"/>
  </si>
  <si>
    <t>방찬미</t>
    <phoneticPr fontId="3" type="noConversion"/>
  </si>
  <si>
    <t>박지혜</t>
    <phoneticPr fontId="3" type="noConversion"/>
  </si>
  <si>
    <t xml:space="preserve">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</si>
</sst>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&quot;NHEXAN&quot;\ yyyy/mm/dd\(aaa\)"/>
    <numFmt numFmtId="177" formatCode="0_);[Red]\(0\)"/>
    <numFmt numFmtId="178" formatCode="\_xd83d_\_xdd10_####"/>
    <numFmt numFmtId="179" formatCode="&quot;조회모드 : &quot;\ 0"/>
    <numFmt numFmtId="180" formatCode="dddd"/>
    <numFmt numFmtId="181" formatCode="0.#0"/>
    <numFmt numFmtId="182" formatCode="0.0000"/>
    <numFmt numFmtId="183" formatCode="0.0"/>
    <numFmt numFmtId="184" formatCode="00\-00\-00"/>
    <numFmt numFmtId="185" formatCode="@\ \ \ \ \ \ \ \ &quot;(서명)&quot;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KBIZ한마음고딕 R"/>
      <family val="1"/>
      <charset val="129"/>
    </font>
    <font>
      <sz val="8"/>
      <name val="맑은 고딕"/>
      <family val="2"/>
      <charset val="129"/>
      <scheme val="minor"/>
    </font>
    <font>
      <i/>
      <sz val="12"/>
      <color theme="1"/>
      <name val="KBIZ한마음고딕 R"/>
      <family val="1"/>
      <charset val="129"/>
    </font>
    <font>
      <b/>
      <i/>
      <sz val="12"/>
      <color theme="0"/>
      <name val="KBIZ한마음고딕 R"/>
      <family val="1"/>
      <charset val="129"/>
    </font>
    <font>
      <sz val="12"/>
      <color theme="0"/>
      <name val="KBIZ한마음고딕 R"/>
      <family val="1"/>
      <charset val="129"/>
    </font>
    <font>
      <sz val="14"/>
      <color theme="1"/>
      <name val="KBIZ한마음고딕 R"/>
      <family val="1"/>
      <charset val="129"/>
    </font>
    <font>
      <sz val="11"/>
      <color theme="1"/>
      <name val="KBIZ한마음고딕 R"/>
      <family val="1"/>
      <charset val="129"/>
    </font>
    <font>
      <sz val="11"/>
      <name val="굴림"/>
      <family val="3"/>
      <charset val="129"/>
    </font>
    <font>
      <sz val="12"/>
      <color theme="1"/>
      <name val="KBIZ한마음고딕 L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</cellStyleXfs>
  <cellXfs count="49">
    <xf numFmtId="0" fontId="0" fillId="0" borderId="0" xfId="0">
      <alignment vertical="center"/>
    </xf>
    <xf numFmtId="49" fontId="2" fillId="0" borderId="0" xfId="1" applyNumberFormat="1" applyFont="1" applyAlignment="1">
      <alignment horizontal="distributed" vertical="distributed" indent="1"/>
    </xf>
    <xf numFmtId="176" fontId="4" fillId="0" borderId="0" xfId="1" applyNumberFormat="1" applyFont="1" applyAlignment="1">
      <alignment horizontal="left" vertical="center" indent="1"/>
    </xf>
    <xf numFmtId="0" fontId="2" fillId="0" borderId="0" xfId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1" applyFont="1"/>
    <xf numFmtId="178" fontId="7" fillId="0" borderId="0" xfId="1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1" applyFont="1" applyAlignment="1">
      <alignment horizontal="left" vertical="center" indent="1"/>
    </xf>
    <xf numFmtId="179" fontId="6" fillId="0" borderId="0" xfId="0" applyNumberFormat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180" fontId="2" fillId="0" borderId="0" xfId="1" applyNumberFormat="1" applyFont="1" applyAlignment="1">
      <alignment horizontal="distributed" vertical="distributed" indent="1"/>
    </xf>
    <xf numFmtId="0" fontId="2" fillId="0" borderId="0" xfId="0" applyFont="1" applyAlignment="1">
      <alignment horizontal="left" vertical="center" indent="1"/>
    </xf>
    <xf numFmtId="0" fontId="2" fillId="0" borderId="0" xfId="1" applyFont="1" applyAlignment="1">
      <alignment horizontal="left" vertical="center" indent="1"/>
    </xf>
    <xf numFmtId="180" fontId="2" fillId="0" borderId="1" xfId="1" applyNumberFormat="1" applyFont="1" applyBorder="1" applyAlignment="1">
      <alignment horizontal="distributed" vertical="distributed" indent="1"/>
    </xf>
    <xf numFmtId="0" fontId="2" fillId="0" borderId="1" xfId="1" applyFont="1" applyBorder="1" applyAlignment="1">
      <alignment horizontal="left" vertical="center" indent="1"/>
    </xf>
    <xf numFmtId="0" fontId="2" fillId="0" borderId="1" xfId="1" applyFont="1" applyBorder="1" applyAlignment="1">
      <alignment horizontal="center" vertical="center"/>
    </xf>
    <xf numFmtId="0" fontId="8" fillId="2" borderId="0" xfId="2" applyFont="1" applyFill="1" applyAlignment="1">
      <alignment horizontal="center" vertical="center"/>
    </xf>
    <xf numFmtId="181" fontId="8" fillId="2" borderId="0" xfId="2" applyNumberFormat="1" applyFont="1" applyFill="1" applyAlignment="1">
      <alignment horizontal="center" vertical="center"/>
    </xf>
    <xf numFmtId="2" fontId="8" fillId="2" borderId="0" xfId="2" applyNumberFormat="1" applyFont="1" applyFill="1" applyAlignment="1">
      <alignment horizontal="center" vertical="center"/>
    </xf>
    <xf numFmtId="0" fontId="8" fillId="2" borderId="0" xfId="2" applyFont="1" applyFill="1" applyAlignment="1">
      <alignment horizontal="center" vertical="center" wrapText="1"/>
    </xf>
    <xf numFmtId="2" fontId="8" fillId="2" borderId="0" xfId="2" applyNumberFormat="1" applyFont="1" applyFill="1" applyAlignment="1">
      <alignment horizontal="center" vertical="center" wrapText="1"/>
    </xf>
    <xf numFmtId="182" fontId="9" fillId="0" borderId="2" xfId="0" applyNumberFormat="1" applyFont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1" fontId="2" fillId="2" borderId="3" xfId="2" applyNumberFormat="1" applyFont="1" applyFill="1" applyBorder="1" applyAlignment="1">
      <alignment horizontal="center" vertical="center"/>
    </xf>
    <xf numFmtId="182" fontId="2" fillId="2" borderId="3" xfId="2" applyNumberFormat="1" applyFont="1" applyFill="1" applyBorder="1" applyAlignment="1">
      <alignment horizontal="center" vertical="center"/>
    </xf>
    <xf numFmtId="182" fontId="2" fillId="2" borderId="3" xfId="2" applyNumberFormat="1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183" fontId="2" fillId="2" borderId="3" xfId="2" applyNumberFormat="1" applyFont="1" applyFill="1" applyBorder="1" applyAlignment="1">
      <alignment horizontal="center" vertical="center" wrapText="1"/>
    </xf>
    <xf numFmtId="181" fontId="8" fillId="2" borderId="3" xfId="2" applyNumberFormat="1" applyFont="1" applyFill="1" applyBorder="1" applyAlignment="1">
      <alignment horizontal="center" vertical="center"/>
    </xf>
    <xf numFmtId="182" fontId="8" fillId="2" borderId="3" xfId="2" applyNumberFormat="1" applyFont="1" applyFill="1" applyBorder="1" applyAlignment="1">
      <alignment horizontal="center" vertical="center"/>
    </xf>
    <xf numFmtId="182" fontId="8" fillId="2" borderId="3" xfId="2" applyNumberFormat="1" applyFont="1" applyFill="1" applyBorder="1" applyAlignment="1">
      <alignment horizontal="center" vertical="center" wrapText="1"/>
    </xf>
    <xf numFmtId="2" fontId="8" fillId="2" borderId="3" xfId="2" applyNumberFormat="1" applyFont="1" applyFill="1" applyBorder="1" applyAlignment="1">
      <alignment horizontal="center" vertical="center" wrapText="1"/>
    </xf>
    <xf numFmtId="182" fontId="9" fillId="0" borderId="4" xfId="0" applyNumberFormat="1" applyFont="1" applyBorder="1" applyAlignment="1">
      <alignment horizontal="center" vertical="center"/>
    </xf>
    <xf numFmtId="184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8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83" fontId="2" fillId="0" borderId="0" xfId="0" applyNumberFormat="1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18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/>
    </xf>
    <xf numFmtId="0" fontId="2" fillId="0" borderId="0" xfId="3" applyFont="1" applyAlignment="1">
      <alignment horizontal="center" vertical="center" wrapText="1"/>
    </xf>
    <xf numFmtId="0" fontId="2" fillId="0" borderId="0" xfId="3" applyFont="1"/>
    <xf numFmtId="0" fontId="2" fillId="0" borderId="0" xfId="3" applyFont="1" applyAlignment="1">
      <alignment horizontal="center" vertical="center"/>
    </xf>
    <xf numFmtId="185" fontId="2" fillId="0" borderId="0" xfId="0" applyNumberFormat="1" applyFont="1" applyAlignment="1">
      <alignment horizontal="right" vertical="center" indent="1"/>
    </xf>
    <xf numFmtId="0" fontId="10" fillId="0" borderId="0" xfId="0" applyFont="1">
      <alignment vertical="center"/>
    </xf>
  </cellXfs>
  <cellStyles count="4">
    <cellStyle name="표준" xfId="0" builtinId="0"/>
    <cellStyle name="표준 3" xfId="1" xr:uid="{EC4EC1A4-F66A-4F09-8553-345DC71B1384}"/>
    <cellStyle name="표준 4" xfId="2" xr:uid="{2E71E2C8-040D-4CB6-B58B-3FF34613D9E5}"/>
    <cellStyle name="표준 5" xfId="3" xr:uid="{86A2F15D-031F-4BE3-AFE3-3C2402758D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pin" dx="22" fmlaLink="$F$1" max="30000" min="3" page="10" val="227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914152</xdr:colOff>
      <xdr:row>3</xdr:row>
      <xdr:rowOff>188026</xdr:rowOff>
    </xdr:from>
    <xdr:to>
      <xdr:col>10</xdr:col>
      <xdr:colOff>804643</xdr:colOff>
      <xdr:row>4</xdr:row>
      <xdr:rowOff>256344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46DB9596-4FAF-4B95-AD26-D0A65EEBFA71}"/>
            </a:ext>
          </a:extLst>
        </xdr:cNvPr>
        <xdr:cNvGrpSpPr/>
      </xdr:nvGrpSpPr>
      <xdr:grpSpPr>
        <a:xfrm>
          <a:off x="12316938" y="1290205"/>
          <a:ext cx="3496384" cy="435710"/>
          <a:chOff x="7743829" y="1061358"/>
          <a:chExt cx="3503802" cy="432000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Spinner 1" hidden="1">
                <a:extLst>
                  <a:ext uri="{63B3BB69-23CF-44E3-9099-C40C66FF867C}">
                    <a14:compatExt spid="_x0000_s1025"/>
                  </a:ext>
                  <a:ext uri="{FF2B5EF4-FFF2-40B4-BE49-F238E27FC236}">
                    <a16:creationId xmlns:a16="http://schemas.microsoft.com/office/drawing/2014/main" id="{00000000-0008-0000-0800-00001F780000}"/>
                  </a:ext>
                </a:extLst>
              </xdr:cNvPr>
              <xdr:cNvSpPr/>
            </xdr:nvSpPr>
            <xdr:spPr bwMode="auto">
              <a:xfrm>
                <a:off x="7743829" y="1096736"/>
                <a:ext cx="381000" cy="357868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</xdr:spPr>
          </xdr:sp>
        </mc:Choice>
        <mc:Fallback/>
      </mc:AlternateContent>
      <xdr:pic macro="[1]!조회_조지기">
        <xdr:nvPicPr>
          <xdr:cNvPr id="3" name="그림 2">
            <a:extLst>
              <a:ext uri="{FF2B5EF4-FFF2-40B4-BE49-F238E27FC236}">
                <a16:creationId xmlns:a16="http://schemas.microsoft.com/office/drawing/2014/main" id="{E7B28D27-9358-D800-7242-D2DAFF696E5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8625394" y="1109523"/>
            <a:ext cx="375525" cy="335671"/>
          </a:xfrm>
          <a:prstGeom prst="rect">
            <a:avLst/>
          </a:prstGeom>
        </xdr:spPr>
      </xdr:pic>
      <xdr:pic macro="[1]!GoDATA">
        <xdr:nvPicPr>
          <xdr:cNvPr id="4" name="그림 3">
            <a:extLst>
              <a:ext uri="{FF2B5EF4-FFF2-40B4-BE49-F238E27FC236}">
                <a16:creationId xmlns:a16="http://schemas.microsoft.com/office/drawing/2014/main" id="{9980950F-F96E-C9A2-552E-1260DF24D1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clrChange>
              <a:clrFrom>
                <a:srgbClr val="F6F5FA"/>
              </a:clrFrom>
              <a:clrTo>
                <a:srgbClr val="F6F5FA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8187347" y="1095384"/>
            <a:ext cx="375525" cy="363948"/>
          </a:xfrm>
          <a:prstGeom prst="rect">
            <a:avLst/>
          </a:prstGeom>
        </xdr:spPr>
      </xdr:pic>
      <xdr:pic macro="[1]!LIST불러오기">
        <xdr:nvPicPr>
          <xdr:cNvPr id="5" name="그림 4">
            <a:extLst>
              <a:ext uri="{FF2B5EF4-FFF2-40B4-BE49-F238E27FC236}">
                <a16:creationId xmlns:a16="http://schemas.microsoft.com/office/drawing/2014/main" id="{DDB575DB-18DB-49B1-ED3D-BED8416E749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9063441" y="1098023"/>
            <a:ext cx="375525" cy="358671"/>
          </a:xfrm>
          <a:prstGeom prst="rect">
            <a:avLst/>
          </a:prstGeom>
        </xdr:spPr>
      </xdr:pic>
      <xdr:pic macro="[1]!copythatfile">
        <xdr:nvPicPr>
          <xdr:cNvPr id="6" name="그림 5">
            <a:extLst>
              <a:ext uri="{FF2B5EF4-FFF2-40B4-BE49-F238E27FC236}">
                <a16:creationId xmlns:a16="http://schemas.microsoft.com/office/drawing/2014/main" id="{0CE2C4EA-8475-8861-514D-50DC9646C67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01488" y="1098404"/>
            <a:ext cx="375525" cy="357908"/>
          </a:xfrm>
          <a:prstGeom prst="rect">
            <a:avLst/>
          </a:prstGeom>
        </xdr:spPr>
      </xdr:pic>
      <xdr:pic macro="[1]!그림14_Click">
        <xdr:nvPicPr>
          <xdr:cNvPr id="7" name="그림 6">
            <a:extLst>
              <a:ext uri="{FF2B5EF4-FFF2-40B4-BE49-F238E27FC236}">
                <a16:creationId xmlns:a16="http://schemas.microsoft.com/office/drawing/2014/main" id="{773B26BC-94B3-0DDD-EFBE-CEA892B6FB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34057" y="1098404"/>
            <a:ext cx="375525" cy="357908"/>
          </a:xfrm>
          <a:prstGeom prst="rect">
            <a:avLst/>
          </a:prstGeom>
        </xdr:spPr>
      </xdr:pic>
      <xdr:pic macro="[1]!수식">
        <xdr:nvPicPr>
          <xdr:cNvPr id="8" name="그림 7">
            <a:extLst>
              <a:ext uri="{FF2B5EF4-FFF2-40B4-BE49-F238E27FC236}">
                <a16:creationId xmlns:a16="http://schemas.microsoft.com/office/drawing/2014/main" id="{63C9AC4F-C254-EBD7-79AC-0470741353C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39535" y="1061358"/>
            <a:ext cx="432000" cy="432000"/>
          </a:xfrm>
          <a:prstGeom prst="rect">
            <a:avLst/>
          </a:prstGeom>
        </xdr:spPr>
      </xdr:pic>
      <xdr:pic macro="[1]!EASY">
        <xdr:nvPicPr>
          <xdr:cNvPr id="9" name="그림 8" hidden="1">
            <a:extLst>
              <a:ext uri="{FF2B5EF4-FFF2-40B4-BE49-F238E27FC236}">
                <a16:creationId xmlns:a16="http://schemas.microsoft.com/office/drawing/2014/main" id="{BC59647A-79C0-49E6-29BA-5CBE22874F1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872106" y="1103803"/>
            <a:ext cx="375525" cy="347110"/>
          </a:xfrm>
          <a:prstGeom prst="rect">
            <a:avLst/>
          </a:prstGeom>
        </xdr:spPr>
      </xdr:pic>
    </xdr:grp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&#48516;&#49437;&#44284;\NEW-CHUNG%20HA\CHUNGHA-&#51060;&#50696;&#47548;.xlsm" TargetMode="External"/><Relationship Id="rId1" Type="http://schemas.openxmlformats.org/officeDocument/2006/relationships/externalLinkPath" Target="file:///X:\&#48516;&#49437;&#44284;\NEW-CHUNG%20HA\CHUNGHA-&#51060;&#50696;&#47548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D"/>
      <sheetName val="SS"/>
      <sheetName val="TN"/>
      <sheetName val="TOC(TCIC)"/>
      <sheetName val="TP"/>
      <sheetName val="Phenols"/>
      <sheetName val="COD-DATA"/>
      <sheetName val="N-Hexan"/>
      <sheetName val="배출업소시험성적서"/>
      <sheetName val="BOD-DATA"/>
      <sheetName val="SS-DATA"/>
      <sheetName val="TOC(TCIC)-DATA"/>
      <sheetName val="TOC(NPOC)-DATA"/>
      <sheetName val="Phenols-DATA"/>
      <sheetName val="N-Hexan-DATA"/>
      <sheetName val="TN-DATA"/>
      <sheetName val="TP-DATA"/>
      <sheetName val="NH3-DATA"/>
      <sheetName val="NO2-DATA"/>
      <sheetName val="NO3-DATA"/>
      <sheetName val="PO4-DATA"/>
      <sheetName val="VS-DATA"/>
      <sheetName val="TS-DATA"/>
      <sheetName val="설정"/>
      <sheetName val="연습장"/>
      <sheetName val="ERROR LIST"/>
      <sheetName val="분석계획"/>
      <sheetName val="의뢰번호"/>
      <sheetName val="COD"/>
      <sheetName val="NH3"/>
      <sheetName val="NO2"/>
      <sheetName val="NO3"/>
      <sheetName val="PO4"/>
      <sheetName val="VS"/>
      <sheetName val="TS"/>
      <sheetName val="시약"/>
      <sheetName val="시약BIG-DATA"/>
      <sheetName val="시약 기초자료"/>
    </sheetNames>
    <definedNames>
      <definedName name="copythatfile"/>
      <definedName name="EASY"/>
      <definedName name="GoDATA"/>
      <definedName name="LIST불러오기"/>
      <definedName name="그림14_Click"/>
      <definedName name="수식"/>
      <definedName name="조회_조지기"/>
      <definedName name="쪼회"/>
    </definedNames>
    <sheetDataSet>
      <sheetData sheetId="0"/>
      <sheetData sheetId="1" refreshError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91AD2-2C71-443F-B788-41241C61D35D}">
  <sheetPr codeName="Sheet21">
    <tabColor theme="9" tint="0.39997558519241921"/>
  </sheetPr>
  <dimension ref="A1:R40"/>
  <sheetViews>
    <sheetView tabSelected="1" view="pageBreakPreview" zoomScale="70" zoomScaleNormal="70" zoomScaleSheetLayoutView="70" zoomScalePageLayoutView="40" workbookViewId="0">
      <selection sqref="A1:H39"/>
    </sheetView>
  </sheetViews>
  <sheetFormatPr defaultColWidth="18.375" defaultRowHeight="24.75" customHeight="1" x14ac:dyDescent="0.3"/>
  <cols>
    <col min="1" max="1" width="32.125" style="48" customWidth="1"/>
    <col min="2" max="8" width="16.75" style="48" customWidth="1"/>
    <col min="9" max="9" width="30.5" style="48" customWidth="1"/>
    <col min="10" max="16" width="16.75" style="48" customWidth="1"/>
    <col min="17" max="16384" width="18.375" style="48"/>
  </cols>
  <sheetData>
    <row r="1" spans="1:18" s="8" customFormat="1" ht="29.25" customHeight="1" x14ac:dyDescent="0.4">
      <c r="A1" s="1" t="s">
        <v>0</v>
      </c>
      <c r="B1" s="2">
        <v>46100</v>
      </c>
      <c r="C1" s="2"/>
      <c r="D1" s="3"/>
      <c r="E1" s="4">
        <v>50</v>
      </c>
      <c r="F1" s="5">
        <v>2271</v>
      </c>
      <c r="G1" s="6"/>
      <c r="H1" s="7"/>
      <c r="I1" s="1" t="s">
        <v>0</v>
      </c>
      <c r="J1" s="2">
        <f>B1</f>
        <v>46100</v>
      </c>
      <c r="K1" s="2"/>
      <c r="L1" s="3"/>
      <c r="M1" s="4">
        <v>0</v>
      </c>
      <c r="N1" s="5">
        <v>914</v>
      </c>
      <c r="O1" s="6"/>
      <c r="P1" s="6"/>
    </row>
    <row r="2" spans="1:18" s="8" customFormat="1" ht="29.25" customHeight="1" x14ac:dyDescent="0.4">
      <c r="A2" s="1" t="s">
        <v>1</v>
      </c>
      <c r="B2" s="9" t="s">
        <v>2</v>
      </c>
      <c r="C2" s="3"/>
      <c r="D2" s="10">
        <v>1</v>
      </c>
      <c r="E2" s="11"/>
      <c r="F2" s="11"/>
      <c r="G2" s="6"/>
      <c r="H2" s="6"/>
      <c r="I2" s="1" t="s">
        <v>1</v>
      </c>
      <c r="J2" s="9" t="s">
        <v>2</v>
      </c>
      <c r="K2" s="3"/>
      <c r="L2" s="10">
        <v>1</v>
      </c>
      <c r="M2" s="11"/>
      <c r="N2" s="11"/>
      <c r="O2" s="6"/>
      <c r="P2" s="6"/>
    </row>
    <row r="3" spans="1:18" s="8" customFormat="1" ht="29.25" customHeight="1" x14ac:dyDescent="0.4">
      <c r="A3" s="12" t="s">
        <v>3</v>
      </c>
      <c r="B3" s="13" t="s">
        <v>4</v>
      </c>
      <c r="C3" s="3"/>
      <c r="D3" s="11"/>
      <c r="E3" s="3"/>
      <c r="F3" s="3"/>
      <c r="G3" s="6"/>
      <c r="H3" s="6"/>
      <c r="I3" s="12" t="s">
        <v>3</v>
      </c>
      <c r="J3" s="13" t="s">
        <v>4</v>
      </c>
      <c r="K3" s="3"/>
      <c r="L3" s="11"/>
      <c r="M3" s="3"/>
      <c r="N3" s="3"/>
      <c r="O3" s="6"/>
      <c r="P3" s="6"/>
    </row>
    <row r="4" spans="1:18" s="8" customFormat="1" ht="29.25" customHeight="1" x14ac:dyDescent="0.4">
      <c r="A4" s="12" t="s">
        <v>5</v>
      </c>
      <c r="B4" s="14" t="s">
        <v>6</v>
      </c>
      <c r="C4" s="14"/>
      <c r="D4" s="14"/>
      <c r="E4" s="14"/>
      <c r="F4" s="14"/>
      <c r="G4" s="14"/>
      <c r="H4" s="6"/>
      <c r="I4" s="12" t="s">
        <v>5</v>
      </c>
      <c r="J4" s="14" t="s">
        <v>6</v>
      </c>
      <c r="K4" s="14"/>
      <c r="L4" s="14"/>
      <c r="M4" s="14"/>
      <c r="N4" s="14"/>
      <c r="O4" s="14"/>
      <c r="P4" s="6"/>
    </row>
    <row r="5" spans="1:18" s="8" customFormat="1" ht="29.25" customHeight="1" thickBot="1" x14ac:dyDescent="0.35">
      <c r="A5" s="15"/>
      <c r="B5" s="16" t="s">
        <v>7</v>
      </c>
      <c r="C5" s="16"/>
      <c r="D5" s="16"/>
      <c r="E5" s="16"/>
      <c r="F5" s="16"/>
      <c r="G5" s="16"/>
      <c r="H5" s="17"/>
      <c r="I5" s="15"/>
      <c r="J5" s="16" t="s">
        <v>7</v>
      </c>
      <c r="K5" s="16"/>
      <c r="L5" s="16"/>
      <c r="M5" s="16"/>
      <c r="N5" s="16"/>
      <c r="O5" s="16"/>
      <c r="P5" s="17"/>
    </row>
    <row r="6" spans="1:18" s="8" customFormat="1" ht="33.75" customHeight="1" thickTop="1" thickBot="1" x14ac:dyDescent="0.35">
      <c r="A6" s="18" t="s">
        <v>8</v>
      </c>
      <c r="B6" s="19" t="s">
        <v>9</v>
      </c>
      <c r="C6" s="20" t="s">
        <v>10</v>
      </c>
      <c r="D6" s="19" t="s">
        <v>11</v>
      </c>
      <c r="E6" s="21" t="s">
        <v>12</v>
      </c>
      <c r="F6" s="21" t="s">
        <v>13</v>
      </c>
      <c r="G6" s="22" t="s">
        <v>14</v>
      </c>
      <c r="H6" s="18" t="s">
        <v>15</v>
      </c>
      <c r="I6" s="18" t="s">
        <v>8</v>
      </c>
      <c r="J6" s="19" t="s">
        <v>16</v>
      </c>
      <c r="K6" s="20" t="s">
        <v>17</v>
      </c>
      <c r="L6" s="19" t="s">
        <v>18</v>
      </c>
      <c r="M6" s="21" t="s">
        <v>19</v>
      </c>
      <c r="N6" s="21" t="s">
        <v>13</v>
      </c>
      <c r="O6" s="22" t="s">
        <v>20</v>
      </c>
      <c r="P6" s="18" t="s">
        <v>15</v>
      </c>
      <c r="R6" s="23">
        <f ca="1">ROUND(RANDBETWEEN(38500,39050)/10000,4)</f>
        <v>3.8797999999999999</v>
      </c>
    </row>
    <row r="7" spans="1:18" s="8" customFormat="1" ht="33.75" customHeight="1" thickBot="1" x14ac:dyDescent="0.35">
      <c r="A7" s="24" t="s">
        <v>21</v>
      </c>
      <c r="B7" s="25">
        <v>4000</v>
      </c>
      <c r="C7" s="26">
        <v>3.8786</v>
      </c>
      <c r="D7" s="26">
        <v>3.8786</v>
      </c>
      <c r="E7" s="27">
        <f>C7-D7</f>
        <v>0</v>
      </c>
      <c r="F7" s="28" t="s">
        <v>22</v>
      </c>
      <c r="G7" s="29">
        <v>0</v>
      </c>
      <c r="H7" s="24" t="s">
        <v>15</v>
      </c>
      <c r="I7" s="24" t="s">
        <v>21</v>
      </c>
      <c r="J7" s="30">
        <v>4000</v>
      </c>
      <c r="K7" s="31">
        <v>3.8786</v>
      </c>
      <c r="L7" s="31">
        <v>3.8786</v>
      </c>
      <c r="M7" s="32">
        <f>C7-D7</f>
        <v>0</v>
      </c>
      <c r="N7" s="28" t="s">
        <v>22</v>
      </c>
      <c r="O7" s="33">
        <v>0</v>
      </c>
      <c r="P7" s="24" t="s">
        <v>15</v>
      </c>
      <c r="R7" s="34">
        <f t="shared" ref="R7:R27" ca="1" si="0">ROUND(RANDBETWEEN(38500,39050)/10000,4)</f>
        <v>3.8765000000000001</v>
      </c>
    </row>
    <row r="8" spans="1:18" s="8" customFormat="1" ht="29.25" customHeight="1" thickTop="1" thickBot="1" x14ac:dyDescent="0.35">
      <c r="A8" s="35" t="s">
        <v>23</v>
      </c>
      <c r="B8" s="36">
        <v>4000</v>
      </c>
      <c r="C8" s="37">
        <v>3.903</v>
      </c>
      <c r="D8" s="37">
        <v>3.9058000000000002</v>
      </c>
      <c r="E8" s="37">
        <f>IF($A$8:$A$37&lt;&gt;"",($D$8:$D$37-$C$8:C$37)-$E$7,"")</f>
        <v>2.8000000000001357E-3</v>
      </c>
      <c r="F8" s="38">
        <v>1</v>
      </c>
      <c r="G8" s="39">
        <f t="shared" ref="G8:G37" si="1">IF($A$8:$A$37&lt;&gt;"",ROUND(($E$8:$E$37*1000/$B$8:$B$37)*1000*$F$8:$F$37,1),"")</f>
        <v>0.7</v>
      </c>
      <c r="H8" s="38" t="s">
        <v>24</v>
      </c>
      <c r="I8" s="35"/>
      <c r="J8" s="38"/>
      <c r="K8" s="37"/>
      <c r="L8" s="37"/>
      <c r="M8" s="37" t="str">
        <f>IF($I$8:$I$37&lt;&gt;"",($L$8:$L$37-$K$8:K$37)-$M$7,"")</f>
        <v/>
      </c>
      <c r="N8" s="38"/>
      <c r="O8" s="38" t="str">
        <f t="shared" ref="O8:O37" si="2">IF($I$8:$I$37&lt;&gt;"",ROUND(($M$8:$M$37*1000/$J$8:$J$37)*1000*$N$8:$N$37,1),"")</f>
        <v/>
      </c>
      <c r="P8" s="38"/>
      <c r="R8" s="34">
        <f t="shared" ca="1" si="0"/>
        <v>3.8780999999999999</v>
      </c>
    </row>
    <row r="9" spans="1:18" s="8" customFormat="1" ht="29.25" customHeight="1" thickBot="1" x14ac:dyDescent="0.35">
      <c r="A9" s="35" t="s">
        <v>25</v>
      </c>
      <c r="B9" s="36">
        <v>4000</v>
      </c>
      <c r="C9" s="37">
        <v>3.8803999999999998</v>
      </c>
      <c r="D9" s="37">
        <v>3.8826000000000001</v>
      </c>
      <c r="E9" s="37">
        <f>IF($A$8:$A$37&lt;&gt;"",($D$8:$D$37-$C$8:C$37)-$E$7,"")</f>
        <v>2.2000000000002018E-3</v>
      </c>
      <c r="F9" s="38">
        <v>1</v>
      </c>
      <c r="G9" s="39">
        <f t="shared" si="1"/>
        <v>0.6</v>
      </c>
      <c r="H9" s="38" t="s">
        <v>26</v>
      </c>
      <c r="I9" s="35"/>
      <c r="J9" s="38"/>
      <c r="K9" s="37"/>
      <c r="L9" s="37"/>
      <c r="M9" s="37" t="str">
        <f>IF($I$8:$I$37&lt;&gt;"",($L$8:$L$37-$K$8:K$37)-$M$7,"")</f>
        <v/>
      </c>
      <c r="N9" s="38"/>
      <c r="O9" s="38" t="str">
        <f t="shared" si="2"/>
        <v/>
      </c>
      <c r="P9" s="38"/>
      <c r="R9" s="34">
        <f t="shared" ca="1" si="0"/>
        <v>3.8995000000000002</v>
      </c>
    </row>
    <row r="10" spans="1:18" s="8" customFormat="1" ht="29.25" customHeight="1" thickBot="1" x14ac:dyDescent="0.35">
      <c r="A10" s="35" t="s">
        <v>27</v>
      </c>
      <c r="B10" s="36">
        <v>4000</v>
      </c>
      <c r="C10" s="37">
        <v>3.8767</v>
      </c>
      <c r="D10" s="37">
        <v>3.8788</v>
      </c>
      <c r="E10" s="37">
        <f>IF($A$8:$A$37&lt;&gt;"",($D$8:$D$37-$C$8:C$37)-$E$7,"")</f>
        <v>2.0999999999999908E-3</v>
      </c>
      <c r="F10" s="38">
        <v>1</v>
      </c>
      <c r="G10" s="39">
        <f t="shared" si="1"/>
        <v>0.5</v>
      </c>
      <c r="H10" s="38" t="s">
        <v>28</v>
      </c>
      <c r="I10" s="35"/>
      <c r="J10" s="38"/>
      <c r="K10" s="37"/>
      <c r="L10" s="37"/>
      <c r="M10" s="37" t="str">
        <f>IF($I$8:$I$37&lt;&gt;"",($L$8:$L$37-$K$8:K$37)-$M$7,"")</f>
        <v/>
      </c>
      <c r="N10" s="38"/>
      <c r="O10" s="38" t="str">
        <f t="shared" si="2"/>
        <v/>
      </c>
      <c r="P10" s="38"/>
      <c r="R10" s="34">
        <f t="shared" ca="1" si="0"/>
        <v>3.8696000000000002</v>
      </c>
    </row>
    <row r="11" spans="1:18" s="8" customFormat="1" ht="29.25" customHeight="1" thickBot="1" x14ac:dyDescent="0.35">
      <c r="A11" s="35" t="s">
        <v>29</v>
      </c>
      <c r="B11" s="36">
        <v>4000</v>
      </c>
      <c r="C11" s="37">
        <v>3.8656999999999999</v>
      </c>
      <c r="D11" s="37">
        <v>3.8677000000000001</v>
      </c>
      <c r="E11" s="37">
        <f>IF($A$8:$A$37&lt;&gt;"",($D$8:$D$37-$C$8:C$37)-$E$7,"")</f>
        <v>2.0000000000002238E-3</v>
      </c>
      <c r="F11" s="38">
        <v>1</v>
      </c>
      <c r="G11" s="39">
        <f t="shared" si="1"/>
        <v>0.5</v>
      </c>
      <c r="H11" s="38" t="s">
        <v>30</v>
      </c>
      <c r="I11" s="35"/>
      <c r="J11" s="38"/>
      <c r="K11" s="37"/>
      <c r="L11" s="37"/>
      <c r="M11" s="37" t="str">
        <f>IF($I$8:$I$37&lt;&gt;"",($L$8:$L$37-$K$8:K$37)-$M$7,"")</f>
        <v/>
      </c>
      <c r="N11" s="38"/>
      <c r="O11" s="38" t="str">
        <f t="shared" si="2"/>
        <v/>
      </c>
      <c r="P11" s="38"/>
      <c r="R11" s="34">
        <f t="shared" ca="1" si="0"/>
        <v>3.8652000000000002</v>
      </c>
    </row>
    <row r="12" spans="1:18" s="8" customFormat="1" ht="29.25" customHeight="1" thickBot="1" x14ac:dyDescent="0.35">
      <c r="A12" s="35" t="s">
        <v>31</v>
      </c>
      <c r="B12" s="36">
        <v>4000</v>
      </c>
      <c r="C12" s="37">
        <v>3.8885999999999998</v>
      </c>
      <c r="D12" s="37">
        <v>3.8927999999999998</v>
      </c>
      <c r="E12" s="37">
        <f>IF($A$8:$A$37&lt;&gt;"",($D$8:$D$37-$C$8:C$37)-$E$7,"")</f>
        <v>4.1999999999999815E-3</v>
      </c>
      <c r="F12" s="38">
        <v>1</v>
      </c>
      <c r="G12" s="39">
        <f t="shared" si="1"/>
        <v>1.1000000000000001</v>
      </c>
      <c r="H12" s="38" t="s">
        <v>32</v>
      </c>
      <c r="I12" s="35"/>
      <c r="J12" s="38"/>
      <c r="K12" s="37"/>
      <c r="L12" s="37"/>
      <c r="M12" s="37" t="str">
        <f>IF($I$8:$I$37&lt;&gt;"",($L$8:$L$37-$K$8:K$37)-$M$7,"")</f>
        <v/>
      </c>
      <c r="N12" s="38"/>
      <c r="O12" s="38" t="str">
        <f t="shared" si="2"/>
        <v/>
      </c>
      <c r="P12" s="38"/>
      <c r="R12" s="34">
        <f t="shared" ca="1" si="0"/>
        <v>3.9007999999999998</v>
      </c>
    </row>
    <row r="13" spans="1:18" s="8" customFormat="1" ht="29.25" customHeight="1" thickBot="1" x14ac:dyDescent="0.35">
      <c r="A13" s="35" t="s">
        <v>33</v>
      </c>
      <c r="B13" s="36">
        <v>4000</v>
      </c>
      <c r="C13" s="37">
        <v>3.9037999999999999</v>
      </c>
      <c r="D13" s="37">
        <v>3.9094000000000002</v>
      </c>
      <c r="E13" s="37">
        <f>IF($A$8:$A$37&lt;&gt;"",($D$8:$D$37-$C$8:C$37)-$E$7,"")</f>
        <v>5.6000000000002714E-3</v>
      </c>
      <c r="F13" s="38">
        <v>1</v>
      </c>
      <c r="G13" s="39">
        <f t="shared" si="1"/>
        <v>1.4</v>
      </c>
      <c r="H13" s="38" t="s">
        <v>34</v>
      </c>
      <c r="I13" s="35"/>
      <c r="J13" s="38"/>
      <c r="K13" s="37"/>
      <c r="L13" s="37"/>
      <c r="M13" s="37" t="str">
        <f>IF($I$8:$I$37&lt;&gt;"",($L$8:$L$37-$K$8:K$37)-$M$7,"")</f>
        <v/>
      </c>
      <c r="N13" s="38"/>
      <c r="O13" s="38" t="str">
        <f t="shared" si="2"/>
        <v/>
      </c>
      <c r="P13" s="38"/>
      <c r="R13" s="34">
        <f t="shared" ca="1" si="0"/>
        <v>3.8538999999999999</v>
      </c>
    </row>
    <row r="14" spans="1:18" s="8" customFormat="1" ht="29.25" customHeight="1" thickBot="1" x14ac:dyDescent="0.35">
      <c r="A14" s="35" t="s">
        <v>35</v>
      </c>
      <c r="B14" s="36">
        <v>4000</v>
      </c>
      <c r="C14" s="37">
        <v>3.8761999999999999</v>
      </c>
      <c r="D14" s="37">
        <v>3.8805000000000001</v>
      </c>
      <c r="E14" s="37">
        <f>IF($A$8:$A$37&lt;&gt;"",($D$8:$D$37-$C$8:C$37)-$E$7,"")</f>
        <v>4.3000000000001926E-3</v>
      </c>
      <c r="F14" s="38">
        <v>1</v>
      </c>
      <c r="G14" s="39">
        <f t="shared" si="1"/>
        <v>1.1000000000000001</v>
      </c>
      <c r="H14" s="38" t="s">
        <v>36</v>
      </c>
      <c r="I14" s="35"/>
      <c r="J14" s="38"/>
      <c r="K14" s="37"/>
      <c r="L14" s="37"/>
      <c r="M14" s="37" t="str">
        <f>IF($I$8:$I$37&lt;&gt;"",($L$8:$L$37-$K$8:K$37)-$M$7,"")</f>
        <v/>
      </c>
      <c r="N14" s="38"/>
      <c r="O14" s="38" t="str">
        <f t="shared" si="2"/>
        <v/>
      </c>
      <c r="P14" s="38"/>
      <c r="R14" s="34">
        <f t="shared" ca="1" si="0"/>
        <v>3.8984999999999999</v>
      </c>
    </row>
    <row r="15" spans="1:18" s="8" customFormat="1" ht="29.25" customHeight="1" thickBot="1" x14ac:dyDescent="0.35">
      <c r="A15" s="35" t="s">
        <v>37</v>
      </c>
      <c r="B15" s="36">
        <v>4000</v>
      </c>
      <c r="C15" s="37">
        <v>3.8578999999999999</v>
      </c>
      <c r="D15" s="37">
        <v>3.8626</v>
      </c>
      <c r="E15" s="37">
        <f>IF($A$8:$A$37&lt;&gt;"",($D$8:$D$37-$C$8:C$37)-$E$7,"")</f>
        <v>4.7000000000001485E-3</v>
      </c>
      <c r="F15" s="38">
        <v>1</v>
      </c>
      <c r="G15" s="39">
        <f t="shared" si="1"/>
        <v>1.2</v>
      </c>
      <c r="H15" s="38" t="s">
        <v>38</v>
      </c>
      <c r="I15" s="35"/>
      <c r="J15" s="38"/>
      <c r="K15" s="37"/>
      <c r="L15" s="37"/>
      <c r="M15" s="37" t="str">
        <f>IF($I$8:$I$37&lt;&gt;"",($L$8:$L$37-$K$8:K$37)-$M$7,"")</f>
        <v/>
      </c>
      <c r="N15" s="38"/>
      <c r="O15" s="38" t="str">
        <f t="shared" si="2"/>
        <v/>
      </c>
      <c r="P15" s="38"/>
      <c r="R15" s="34">
        <f ca="1">ROUND(RANDBETWEEN(38500,39050)/10000,4)</f>
        <v>3.8694999999999999</v>
      </c>
    </row>
    <row r="16" spans="1:18" s="8" customFormat="1" ht="29.25" customHeight="1" thickBot="1" x14ac:dyDescent="0.35">
      <c r="A16" s="35" t="s">
        <v>39</v>
      </c>
      <c r="B16" s="36">
        <v>4000</v>
      </c>
      <c r="C16" s="37">
        <v>3.8693</v>
      </c>
      <c r="D16" s="37">
        <v>3.8733</v>
      </c>
      <c r="E16" s="37">
        <f>IF($A$8:$A$37&lt;&gt;"",($D$8:$D$37-$C$8:C$37)-$E$7,"")</f>
        <v>4.0000000000000036E-3</v>
      </c>
      <c r="F16" s="38">
        <v>1</v>
      </c>
      <c r="G16" s="39">
        <f t="shared" si="1"/>
        <v>1</v>
      </c>
      <c r="H16" s="38" t="s">
        <v>40</v>
      </c>
      <c r="I16" s="35"/>
      <c r="J16" s="38"/>
      <c r="K16" s="37"/>
      <c r="L16" s="37"/>
      <c r="M16" s="37" t="str">
        <f>IF($I$8:$I$37&lt;&gt;"",($L$8:$L$37-$K$8:K$37)-$M$7,"")</f>
        <v/>
      </c>
      <c r="N16" s="38"/>
      <c r="O16" s="38" t="str">
        <f t="shared" si="2"/>
        <v/>
      </c>
      <c r="P16" s="38"/>
      <c r="R16" s="34">
        <f t="shared" ca="1" si="0"/>
        <v>3.8953000000000002</v>
      </c>
    </row>
    <row r="17" spans="1:18" s="8" customFormat="1" ht="29.25" customHeight="1" thickBot="1" x14ac:dyDescent="0.35">
      <c r="A17" s="35" t="s">
        <v>41</v>
      </c>
      <c r="B17" s="36">
        <v>4000</v>
      </c>
      <c r="C17" s="37">
        <v>3.8908999999999998</v>
      </c>
      <c r="D17" s="37">
        <v>3.8925000000000001</v>
      </c>
      <c r="E17" s="37">
        <f>IF($A$8:$A$37&lt;&gt;"",($D$8:$D$37-$C$8:C$37)-$E$7,"")</f>
        <v>1.6000000000002679E-3</v>
      </c>
      <c r="F17" s="38">
        <v>1</v>
      </c>
      <c r="G17" s="39">
        <f t="shared" si="1"/>
        <v>0.4</v>
      </c>
      <c r="H17" s="38" t="s">
        <v>42</v>
      </c>
      <c r="I17" s="35"/>
      <c r="J17" s="38"/>
      <c r="K17" s="37"/>
      <c r="L17" s="37"/>
      <c r="M17" s="37" t="str">
        <f>IF($I$8:$I$37&lt;&gt;"",($L$8:$L$37-$K$8:K$37)-$M$7,"")</f>
        <v/>
      </c>
      <c r="N17" s="38"/>
      <c r="O17" s="38" t="str">
        <f t="shared" si="2"/>
        <v/>
      </c>
      <c r="P17" s="38"/>
      <c r="R17" s="34">
        <f t="shared" ca="1" si="0"/>
        <v>3.8807</v>
      </c>
    </row>
    <row r="18" spans="1:18" s="8" customFormat="1" ht="29.25" customHeight="1" thickBot="1" x14ac:dyDescent="0.35">
      <c r="A18" s="35"/>
      <c r="B18" s="36"/>
      <c r="C18" s="37"/>
      <c r="D18" s="37"/>
      <c r="E18" s="37" t="str">
        <f>IF($A$8:$A$37&lt;&gt;"",($D$8:$D$37-$C$8:C$37)-$E$7,"")</f>
        <v/>
      </c>
      <c r="F18" s="38"/>
      <c r="G18" s="39" t="str">
        <f t="shared" si="1"/>
        <v/>
      </c>
      <c r="H18" s="38"/>
      <c r="I18" s="35"/>
      <c r="J18" s="38"/>
      <c r="K18" s="37"/>
      <c r="L18" s="37"/>
      <c r="M18" s="37" t="str">
        <f>IF($I$8:$I$37&lt;&gt;"",($L$8:$L$37-$K$8:K$37)-$M$7,"")</f>
        <v/>
      </c>
      <c r="N18" s="38"/>
      <c r="O18" s="38" t="str">
        <f t="shared" si="2"/>
        <v/>
      </c>
      <c r="P18" s="38"/>
      <c r="R18" s="34">
        <f t="shared" ca="1" si="0"/>
        <v>3.8816000000000002</v>
      </c>
    </row>
    <row r="19" spans="1:18" s="8" customFormat="1" ht="29.25" customHeight="1" thickBot="1" x14ac:dyDescent="0.35">
      <c r="A19" s="35"/>
      <c r="B19" s="36"/>
      <c r="C19" s="37"/>
      <c r="D19" s="37"/>
      <c r="E19" s="37" t="str">
        <f>IF($A$8:$A$37&lt;&gt;"",($D$8:$D$37-$C$8:C$37)-$E$7,"")</f>
        <v/>
      </c>
      <c r="F19" s="38"/>
      <c r="G19" s="39" t="str">
        <f t="shared" si="1"/>
        <v/>
      </c>
      <c r="H19" s="38"/>
      <c r="I19" s="35"/>
      <c r="J19" s="38"/>
      <c r="K19" s="37"/>
      <c r="L19" s="37"/>
      <c r="M19" s="37" t="str">
        <f>IF($I$8:$I$37&lt;&gt;"",($L$8:$L$37-$K$8:K$37)-$M$7,"")</f>
        <v/>
      </c>
      <c r="N19" s="38"/>
      <c r="O19" s="38" t="str">
        <f t="shared" si="2"/>
        <v/>
      </c>
      <c r="P19" s="38"/>
      <c r="R19" s="34">
        <f t="shared" ca="1" si="0"/>
        <v>3.8957999999999999</v>
      </c>
    </row>
    <row r="20" spans="1:18" s="8" customFormat="1" ht="29.25" customHeight="1" thickBot="1" x14ac:dyDescent="0.35">
      <c r="A20" s="35"/>
      <c r="B20" s="36"/>
      <c r="C20" s="37"/>
      <c r="D20" s="37"/>
      <c r="E20" s="37" t="str">
        <f>IF($A$8:$A$37&lt;&gt;"",($D$8:$D$37-$C$8:C$37)-$E$7,"")</f>
        <v/>
      </c>
      <c r="F20" s="38"/>
      <c r="G20" s="39" t="str">
        <f t="shared" si="1"/>
        <v/>
      </c>
      <c r="H20" s="38"/>
      <c r="I20" s="35"/>
      <c r="J20" s="38"/>
      <c r="K20" s="37"/>
      <c r="L20" s="37"/>
      <c r="M20" s="37" t="str">
        <f>IF($I$8:$I$37&lt;&gt;"",($L$8:$L$37-$K$8:K$37)-$M$7,"")</f>
        <v/>
      </c>
      <c r="N20" s="38"/>
      <c r="O20" s="38" t="str">
        <f t="shared" si="2"/>
        <v/>
      </c>
      <c r="P20" s="38"/>
      <c r="R20" s="34">
        <f t="shared" ca="1" si="0"/>
        <v>3.8772000000000002</v>
      </c>
    </row>
    <row r="21" spans="1:18" s="8" customFormat="1" ht="29.25" customHeight="1" thickBot="1" x14ac:dyDescent="0.35">
      <c r="A21" s="35"/>
      <c r="B21" s="36"/>
      <c r="C21" s="37"/>
      <c r="D21" s="37"/>
      <c r="E21" s="37" t="str">
        <f>IF($A$8:$A$37&lt;&gt;"",($D$8:$D$37-$C$8:C$37)-$E$7,"")</f>
        <v/>
      </c>
      <c r="F21" s="38"/>
      <c r="G21" s="39" t="str">
        <f t="shared" si="1"/>
        <v/>
      </c>
      <c r="H21" s="38"/>
      <c r="I21" s="35"/>
      <c r="J21" s="38"/>
      <c r="K21" s="37"/>
      <c r="L21" s="37"/>
      <c r="M21" s="37" t="str">
        <f>IF($I$8:$I$37&lt;&gt;"",($L$8:$L$37-$K$8:K$37)-$M$7,"")</f>
        <v/>
      </c>
      <c r="N21" s="38"/>
      <c r="O21" s="38" t="str">
        <f t="shared" si="2"/>
        <v/>
      </c>
      <c r="P21" s="38"/>
      <c r="R21" s="34">
        <f t="shared" ca="1" si="0"/>
        <v>3.8536999999999999</v>
      </c>
    </row>
    <row r="22" spans="1:18" s="8" customFormat="1" ht="29.25" customHeight="1" thickBot="1" x14ac:dyDescent="0.35">
      <c r="A22" s="35"/>
      <c r="B22" s="36"/>
      <c r="C22" s="37"/>
      <c r="D22" s="37"/>
      <c r="E22" s="37" t="str">
        <f>IF($A$8:$A$37&lt;&gt;"",($D$8:$D$37-$C$8:C$37)-$E$7,"")</f>
        <v/>
      </c>
      <c r="F22" s="38"/>
      <c r="G22" s="39" t="str">
        <f t="shared" si="1"/>
        <v/>
      </c>
      <c r="H22" s="38"/>
      <c r="I22" s="35"/>
      <c r="J22" s="38"/>
      <c r="K22" s="37"/>
      <c r="L22" s="37"/>
      <c r="M22" s="37" t="str">
        <f>IF($I$8:$I$37&lt;&gt;"",($L$8:$L$37-$K$8:K$37)-$M$7,"")</f>
        <v/>
      </c>
      <c r="N22" s="38"/>
      <c r="O22" s="38" t="str">
        <f t="shared" si="2"/>
        <v/>
      </c>
      <c r="P22" s="38"/>
      <c r="R22" s="34">
        <f t="shared" ca="1" si="0"/>
        <v>3.8683000000000001</v>
      </c>
    </row>
    <row r="23" spans="1:18" s="8" customFormat="1" ht="29.25" customHeight="1" thickBot="1" x14ac:dyDescent="0.35">
      <c r="A23" s="35"/>
      <c r="B23" s="36"/>
      <c r="C23" s="37"/>
      <c r="D23" s="37"/>
      <c r="E23" s="37" t="str">
        <f>IF($A$8:$A$37&lt;&gt;"",($D$8:$D$37-$C$8:C$37)-$E$7,"")</f>
        <v/>
      </c>
      <c r="F23" s="38"/>
      <c r="G23" s="39" t="str">
        <f t="shared" si="1"/>
        <v/>
      </c>
      <c r="H23" s="38"/>
      <c r="I23" s="35"/>
      <c r="J23" s="38"/>
      <c r="K23" s="37"/>
      <c r="L23" s="37"/>
      <c r="M23" s="37" t="str">
        <f>IF($I$8:$I$37&lt;&gt;"",($L$8:$L$37-$K$8:K$37)-$M$7,"")</f>
        <v/>
      </c>
      <c r="N23" s="38"/>
      <c r="O23" s="38" t="str">
        <f t="shared" si="2"/>
        <v/>
      </c>
      <c r="P23" s="38"/>
      <c r="R23" s="34">
        <f t="shared" ca="1" si="0"/>
        <v>3.9003000000000001</v>
      </c>
    </row>
    <row r="24" spans="1:18" s="8" customFormat="1" ht="29.25" customHeight="1" thickBot="1" x14ac:dyDescent="0.35">
      <c r="A24" s="35"/>
      <c r="B24" s="36"/>
      <c r="C24" s="37"/>
      <c r="D24" s="37"/>
      <c r="E24" s="37" t="str">
        <f>IF($A$8:$A$37&lt;&gt;"",($D$8:$D$37-$C$8:C$37)-$E$7,"")</f>
        <v/>
      </c>
      <c r="F24" s="38"/>
      <c r="G24" s="39" t="str">
        <f t="shared" si="1"/>
        <v/>
      </c>
      <c r="H24" s="38"/>
      <c r="I24" s="35"/>
      <c r="J24" s="38"/>
      <c r="K24" s="37"/>
      <c r="L24" s="37"/>
      <c r="M24" s="37" t="str">
        <f>IF($I$8:$I$37&lt;&gt;"",($L$8:$L$37-$K$8:K$37)-$M$7,"")</f>
        <v/>
      </c>
      <c r="N24" s="38"/>
      <c r="O24" s="38" t="str">
        <f t="shared" si="2"/>
        <v/>
      </c>
      <c r="P24" s="38"/>
      <c r="R24" s="34">
        <f t="shared" ca="1" si="0"/>
        <v>3.8923000000000001</v>
      </c>
    </row>
    <row r="25" spans="1:18" s="8" customFormat="1" ht="29.25" customHeight="1" thickBot="1" x14ac:dyDescent="0.35">
      <c r="A25" s="35"/>
      <c r="B25" s="36"/>
      <c r="C25" s="37"/>
      <c r="D25" s="37"/>
      <c r="E25" s="37" t="str">
        <f>IF($A$8:$A$37&lt;&gt;"",($D$8:$D$37-$C$8:C$37)-$E$7,"")</f>
        <v/>
      </c>
      <c r="F25" s="38"/>
      <c r="G25" s="38" t="str">
        <f t="shared" si="1"/>
        <v/>
      </c>
      <c r="H25" s="38"/>
      <c r="I25" s="35"/>
      <c r="J25" s="38"/>
      <c r="K25" s="37"/>
      <c r="L25" s="37"/>
      <c r="M25" s="37" t="str">
        <f>IF($I$8:$I$37&lt;&gt;"",($L$8:$L$37-$K$8:K$37)-$M$7,"")</f>
        <v/>
      </c>
      <c r="N25" s="38"/>
      <c r="O25" s="38" t="str">
        <f t="shared" si="2"/>
        <v/>
      </c>
      <c r="P25" s="38"/>
      <c r="R25" s="34">
        <f ca="1">ROUND(RANDBETWEEN(38500,39050)/10000,4)</f>
        <v>3.8815</v>
      </c>
    </row>
    <row r="26" spans="1:18" s="8" customFormat="1" ht="29.25" customHeight="1" thickBot="1" x14ac:dyDescent="0.35">
      <c r="A26" s="35"/>
      <c r="B26" s="36"/>
      <c r="C26" s="37"/>
      <c r="D26" s="37"/>
      <c r="E26" s="37" t="str">
        <f>IF($A$8:$A$37&lt;&gt;"",($D$8:$D$37-$C$8:C$37)-$E$7,"")</f>
        <v/>
      </c>
      <c r="F26" s="38"/>
      <c r="G26" s="38" t="str">
        <f t="shared" si="1"/>
        <v/>
      </c>
      <c r="H26" s="38"/>
      <c r="I26" s="35"/>
      <c r="J26" s="38"/>
      <c r="K26" s="37"/>
      <c r="L26" s="37"/>
      <c r="M26" s="37" t="str">
        <f>IF($I$8:$I$37&lt;&gt;"",($L$8:$L$37-$K$8:K$37)-$M$7,"")</f>
        <v/>
      </c>
      <c r="N26" s="38"/>
      <c r="O26" s="38" t="str">
        <f t="shared" si="2"/>
        <v/>
      </c>
      <c r="P26" s="38"/>
      <c r="R26" s="34">
        <f t="shared" ca="1" si="0"/>
        <v>3.8721000000000001</v>
      </c>
    </row>
    <row r="27" spans="1:18" s="8" customFormat="1" ht="29.25" customHeight="1" thickBot="1" x14ac:dyDescent="0.35">
      <c r="A27" s="35"/>
      <c r="B27" s="36"/>
      <c r="C27" s="37"/>
      <c r="D27" s="37"/>
      <c r="E27" s="37" t="str">
        <f>IF($A$8:$A$37&lt;&gt;"",($D$8:$D$37-$C$8:C$37)-$E$7,"")</f>
        <v/>
      </c>
      <c r="F27" s="38"/>
      <c r="G27" s="38" t="str">
        <f t="shared" si="1"/>
        <v/>
      </c>
      <c r="H27" s="38"/>
      <c r="I27" s="35"/>
      <c r="J27" s="38"/>
      <c r="K27" s="37"/>
      <c r="L27" s="37"/>
      <c r="M27" s="37" t="str">
        <f>IF($I$8:$I$37&lt;&gt;"",($L$8:$L$37-$K$8:K$37)-$M$7,"")</f>
        <v/>
      </c>
      <c r="N27" s="38"/>
      <c r="O27" s="38" t="str">
        <f t="shared" si="2"/>
        <v/>
      </c>
      <c r="P27" s="38"/>
      <c r="R27" s="34">
        <f t="shared" ca="1" si="0"/>
        <v>3.8746</v>
      </c>
    </row>
    <row r="28" spans="1:18" s="8" customFormat="1" ht="29.25" customHeight="1" x14ac:dyDescent="0.3">
      <c r="A28" s="35"/>
      <c r="B28" s="36"/>
      <c r="C28" s="37"/>
      <c r="D28" s="37"/>
      <c r="E28" s="37" t="str">
        <f>IF($A$8:$A$37&lt;&gt;"",($D$8:$D$37-$C$8:C$37)-$E$7,"")</f>
        <v/>
      </c>
      <c r="F28" s="38"/>
      <c r="G28" s="38" t="str">
        <f t="shared" si="1"/>
        <v/>
      </c>
      <c r="H28" s="38"/>
      <c r="I28" s="35"/>
      <c r="J28" s="38"/>
      <c r="K28" s="37"/>
      <c r="L28" s="37"/>
      <c r="M28" s="37" t="str">
        <f>IF($I$8:$I$37&lt;&gt;"",($L$8:$L$37-$K$8:K$37)-$M$7,"")</f>
        <v/>
      </c>
      <c r="N28" s="38"/>
      <c r="O28" s="38" t="str">
        <f t="shared" si="2"/>
        <v/>
      </c>
      <c r="P28" s="38"/>
    </row>
    <row r="29" spans="1:18" s="8" customFormat="1" ht="29.25" customHeight="1" x14ac:dyDescent="0.3">
      <c r="A29" s="35"/>
      <c r="B29" s="36"/>
      <c r="C29" s="37"/>
      <c r="D29" s="37"/>
      <c r="E29" s="37" t="str">
        <f>IF($A$8:$A$37&lt;&gt;"",($D$8:$D$37-$C$8:C$37)-$E$7,"")</f>
        <v/>
      </c>
      <c r="F29" s="38"/>
      <c r="G29" s="38" t="str">
        <f t="shared" si="1"/>
        <v/>
      </c>
      <c r="H29" s="38"/>
      <c r="I29" s="35"/>
      <c r="J29" s="38"/>
      <c r="K29" s="37"/>
      <c r="L29" s="37"/>
      <c r="M29" s="37" t="str">
        <f>IF($I$8:$I$37&lt;&gt;"",($L$8:$L$37-$K$8:K$37)-$M$7,"")</f>
        <v/>
      </c>
      <c r="N29" s="38"/>
      <c r="O29" s="38" t="str">
        <f t="shared" si="2"/>
        <v/>
      </c>
      <c r="P29" s="38"/>
    </row>
    <row r="30" spans="1:18" s="8" customFormat="1" ht="29.25" customHeight="1" x14ac:dyDescent="0.3">
      <c r="A30" s="35"/>
      <c r="B30" s="36"/>
      <c r="C30" s="37"/>
      <c r="D30" s="37"/>
      <c r="E30" s="37" t="str">
        <f>IF($A$8:$A$37&lt;&gt;"",($D$8:$D$37-$C$8:C$37)-$E$7,"")</f>
        <v/>
      </c>
      <c r="F30" s="38"/>
      <c r="G30" s="39" t="str">
        <f t="shared" si="1"/>
        <v/>
      </c>
      <c r="H30" s="38"/>
      <c r="I30" s="35"/>
      <c r="J30" s="38"/>
      <c r="K30" s="37"/>
      <c r="L30" s="37"/>
      <c r="M30" s="37" t="str">
        <f>IF($I$8:$I$37&lt;&gt;"",($L$8:$L$37-$K$8:K$37)-$M$7,"")</f>
        <v/>
      </c>
      <c r="N30" s="38"/>
      <c r="O30" s="38" t="str">
        <f t="shared" si="2"/>
        <v/>
      </c>
      <c r="P30" s="38"/>
    </row>
    <row r="31" spans="1:18" s="8" customFormat="1" ht="29.25" customHeight="1" x14ac:dyDescent="0.3">
      <c r="A31" s="35"/>
      <c r="B31" s="36"/>
      <c r="C31" s="37"/>
      <c r="D31" s="37"/>
      <c r="E31" s="37" t="str">
        <f>IF($A$8:$A$37&lt;&gt;"",($D$8:$D$37-$C$8:C$37)-$E$7,"")</f>
        <v/>
      </c>
      <c r="F31" s="38"/>
      <c r="G31" s="38" t="str">
        <f t="shared" si="1"/>
        <v/>
      </c>
      <c r="H31" s="38"/>
      <c r="I31" s="35"/>
      <c r="J31" s="38"/>
      <c r="K31" s="37"/>
      <c r="L31" s="37"/>
      <c r="M31" s="37" t="str">
        <f>IF($I$8:$I$37&lt;&gt;"",($L$8:$L$37-$K$8:K$37)-$M$7,"")</f>
        <v/>
      </c>
      <c r="N31" s="38"/>
      <c r="O31" s="38" t="str">
        <f t="shared" si="2"/>
        <v/>
      </c>
      <c r="P31" s="38"/>
    </row>
    <row r="32" spans="1:18" s="8" customFormat="1" ht="29.25" customHeight="1" x14ac:dyDescent="0.3">
      <c r="A32" s="35"/>
      <c r="B32" s="36"/>
      <c r="C32" s="37"/>
      <c r="D32" s="37"/>
      <c r="E32" s="37" t="str">
        <f>IF($A$8:$A$37&lt;&gt;"",($D$8:$D$37-$C$8:C$37)-$E$7,"")</f>
        <v/>
      </c>
      <c r="F32" s="38"/>
      <c r="G32" s="38" t="str">
        <f t="shared" si="1"/>
        <v/>
      </c>
      <c r="H32" s="38"/>
      <c r="I32" s="35"/>
      <c r="J32" s="38"/>
      <c r="K32" s="37"/>
      <c r="L32" s="37"/>
      <c r="M32" s="37" t="str">
        <f>IF($I$8:$I$37&lt;&gt;"",($L$8:$L$37-$K$8:K$37)-$M$7,"")</f>
        <v/>
      </c>
      <c r="N32" s="38"/>
      <c r="O32" s="38" t="str">
        <f t="shared" si="2"/>
        <v/>
      </c>
      <c r="P32" s="38"/>
    </row>
    <row r="33" spans="1:16" s="8" customFormat="1" ht="29.25" customHeight="1" x14ac:dyDescent="0.3">
      <c r="A33" s="35"/>
      <c r="B33" s="36"/>
      <c r="C33" s="37"/>
      <c r="D33" s="37"/>
      <c r="E33" s="37" t="str">
        <f>IF($A$8:$A$37&lt;&gt;"",($D$8:$D$37-$C$8:C$37)-$E$7,"")</f>
        <v/>
      </c>
      <c r="F33" s="38"/>
      <c r="G33" s="38" t="str">
        <f t="shared" si="1"/>
        <v/>
      </c>
      <c r="H33" s="38"/>
      <c r="I33" s="35"/>
      <c r="J33" s="38"/>
      <c r="K33" s="37"/>
      <c r="L33" s="37"/>
      <c r="M33" s="37" t="str">
        <f>IF($I$8:$I$37&lt;&gt;"",($L$8:$L$37-$K$8:K$37)-$M$7,"")</f>
        <v/>
      </c>
      <c r="N33" s="38"/>
      <c r="O33" s="38" t="str">
        <f t="shared" si="2"/>
        <v/>
      </c>
      <c r="P33" s="38"/>
    </row>
    <row r="34" spans="1:16" s="8" customFormat="1" ht="29.25" customHeight="1" x14ac:dyDescent="0.3">
      <c r="A34" s="35"/>
      <c r="B34" s="36"/>
      <c r="C34" s="37"/>
      <c r="D34" s="37"/>
      <c r="E34" s="37" t="str">
        <f>IF($A$8:$A$37&lt;&gt;"",($D$8:$D$37-$C$8:C$37)-$E$7,"")</f>
        <v/>
      </c>
      <c r="F34" s="38"/>
      <c r="G34" s="38" t="str">
        <f t="shared" si="1"/>
        <v/>
      </c>
      <c r="H34" s="38"/>
      <c r="I34" s="35"/>
      <c r="J34" s="38"/>
      <c r="K34" s="37"/>
      <c r="L34" s="37"/>
      <c r="M34" s="37" t="str">
        <f>IF($I$8:$I$37&lt;&gt;"",($L$8:$L$37-$K$8:K$37)-$M$7,"")</f>
        <v/>
      </c>
      <c r="N34" s="38"/>
      <c r="O34" s="38" t="str">
        <f t="shared" si="2"/>
        <v/>
      </c>
      <c r="P34" s="38"/>
    </row>
    <row r="35" spans="1:16" s="8" customFormat="1" ht="29.25" customHeight="1" x14ac:dyDescent="0.3">
      <c r="A35" s="35"/>
      <c r="B35" s="36"/>
      <c r="C35" s="37"/>
      <c r="D35" s="37"/>
      <c r="E35" s="37" t="str">
        <f>IF($A$8:$A$37&lt;&gt;"",($D$8:$D$37-$C$8:C$37)-$E$7,"")</f>
        <v/>
      </c>
      <c r="F35" s="38"/>
      <c r="G35" s="39" t="str">
        <f t="shared" si="1"/>
        <v/>
      </c>
      <c r="H35" s="40"/>
      <c r="I35" s="35"/>
      <c r="J35" s="38"/>
      <c r="K35" s="37"/>
      <c r="L35" s="37"/>
      <c r="M35" s="37" t="str">
        <f>IF($I$8:$I$37&lt;&gt;"",($L$8:$L$37-$K$8:K$37)-$M$7,"")</f>
        <v/>
      </c>
      <c r="N35" s="38"/>
      <c r="O35" s="38" t="str">
        <f t="shared" si="2"/>
        <v/>
      </c>
      <c r="P35" s="38"/>
    </row>
    <row r="36" spans="1:16" s="8" customFormat="1" ht="29.25" customHeight="1" x14ac:dyDescent="0.3">
      <c r="A36" s="35"/>
      <c r="B36" s="36"/>
      <c r="C36" s="37"/>
      <c r="D36" s="37"/>
      <c r="E36" s="37" t="str">
        <f>IF($A$8:$A$37&lt;&gt;"",($D$8:$D$37-$C$8:C$37)-$E$7,"")</f>
        <v/>
      </c>
      <c r="F36" s="38"/>
      <c r="G36" s="38" t="str">
        <f t="shared" si="1"/>
        <v/>
      </c>
      <c r="H36" s="38"/>
      <c r="I36" s="35"/>
      <c r="J36" s="38"/>
      <c r="K36" s="37"/>
      <c r="L36" s="37"/>
      <c r="M36" s="37" t="str">
        <f>IF($I$8:$I$37&lt;&gt;"",($L$8:$L$37-$K$8:K$37)-$M$7,"")</f>
        <v/>
      </c>
      <c r="N36" s="38"/>
      <c r="O36" s="38" t="str">
        <f t="shared" si="2"/>
        <v/>
      </c>
      <c r="P36" s="38"/>
    </row>
    <row r="37" spans="1:16" s="8" customFormat="1" ht="29.25" customHeight="1" thickBot="1" x14ac:dyDescent="0.35">
      <c r="A37" s="41"/>
      <c r="B37" s="42"/>
      <c r="C37" s="43"/>
      <c r="D37" s="42"/>
      <c r="E37" s="42" t="str">
        <f>IF($A$8:$A$37&lt;&gt;"",($D$8:$D$37-$C$8:C$37)-$E$7,"")</f>
        <v/>
      </c>
      <c r="F37" s="42"/>
      <c r="G37" s="42" t="str">
        <f t="shared" si="1"/>
        <v/>
      </c>
      <c r="H37" s="42"/>
      <c r="I37" s="41"/>
      <c r="J37" s="42"/>
      <c r="K37" s="43"/>
      <c r="L37" s="43"/>
      <c r="M37" s="43" t="str">
        <f>IF($I$8:$I$37&lt;&gt;"",($L$8:$L$37-$K$8:K$37)-$M$7,"")</f>
        <v/>
      </c>
      <c r="N37" s="42"/>
      <c r="O37" s="42" t="str">
        <f t="shared" si="2"/>
        <v/>
      </c>
      <c r="P37" s="42"/>
    </row>
    <row r="38" spans="1:16" s="8" customFormat="1" ht="30" customHeight="1" thickTop="1" x14ac:dyDescent="0.4">
      <c r="A38" s="44"/>
      <c r="B38" s="45"/>
      <c r="C38" s="46"/>
      <c r="D38" s="46"/>
      <c r="E38" s="46" t="s">
        <v>43</v>
      </c>
      <c r="F38" s="46"/>
      <c r="G38" s="46" t="s">
        <v>44</v>
      </c>
      <c r="H38" s="46"/>
      <c r="I38" s="46"/>
      <c r="J38" s="46"/>
      <c r="K38" s="46"/>
      <c r="L38" s="46"/>
      <c r="M38" s="46" t="s">
        <v>43</v>
      </c>
      <c r="N38" s="46"/>
      <c r="O38" s="46" t="s">
        <v>44</v>
      </c>
      <c r="P38" s="46"/>
    </row>
    <row r="39" spans="1:16" s="8" customFormat="1" ht="30" customHeight="1" x14ac:dyDescent="0.3">
      <c r="C39" s="47"/>
      <c r="D39" s="47"/>
      <c r="E39" s="47" t="s">
        <v>45</v>
      </c>
      <c r="F39" s="47"/>
      <c r="G39" s="47" t="s">
        <v>45</v>
      </c>
      <c r="H39" s="47"/>
      <c r="I39" s="47"/>
      <c r="J39" s="47"/>
      <c r="K39" s="47"/>
      <c r="L39" s="47"/>
      <c r="M39" s="47" t="s">
        <v>45</v>
      </c>
      <c r="N39" s="47"/>
      <c r="O39" s="47" t="s">
        <v>46</v>
      </c>
      <c r="P39" s="47"/>
    </row>
    <row r="40" spans="1:16" ht="24.75" customHeight="1" x14ac:dyDescent="0.3">
      <c r="E40" s="48" t="s">
        <v>47</v>
      </c>
    </row>
  </sheetData>
  <mergeCells count="20">
    <mergeCell ref="O38:P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M38:N38"/>
    <mergeCell ref="B1:C1"/>
    <mergeCell ref="J1:K1"/>
    <mergeCell ref="B4:G4"/>
    <mergeCell ref="J4:O4"/>
    <mergeCell ref="B5:G5"/>
    <mergeCell ref="J5:O5"/>
  </mergeCells>
  <phoneticPr fontId="3" type="noConversion"/>
  <pageMargins left="0.6692913385826772" right="0.70866141732283472" top="1.7322834645669292" bottom="0.9055118110236221" header="0.78740157480314965" footer="0.59055118110236227"/>
  <pageSetup paperSize="9" scale="54" orientation="portrait" r:id="rId1"/>
  <headerFooter>
    <oddHeader>&amp;L&amp;"HY견고딕,보통"&amp;G&amp;C&amp;"-,굵게"&amp;48&amp;K00-029노말헥산 추출물질 시험기록부</oddHeader>
    <oddFooter>&amp;C&amp;"KBIZ한마음고딕 B,굵게"&amp;48&amp;K00-048리뉴어스주식회사-수질분석센터</oddFooter>
  </headerFooter>
  <colBreaks count="1" manualBreakCount="1">
    <brk id="8" max="38" man="1"/>
  </colBreaks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Spinner 1">
              <controlPr defaultSize="0" print="0" autoPict="0" macro="[1]!쪼회">
                <anchor moveWithCells="1" sizeWithCells="1">
                  <from>
                    <xdr:col>8</xdr:col>
                    <xdr:colOff>914400</xdr:colOff>
                    <xdr:row>3</xdr:row>
                    <xdr:rowOff>219075</xdr:rowOff>
                  </from>
                  <to>
                    <xdr:col>8</xdr:col>
                    <xdr:colOff>1295400</xdr:colOff>
                    <xdr:row>4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N-Hexan</vt:lpstr>
      <vt:lpstr>'N-Hexan'!Print_Area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승욱 정</dc:creator>
  <cp:lastModifiedBy>승욱 정</cp:lastModifiedBy>
  <dcterms:created xsi:type="dcterms:W3CDTF">2026-04-15T07:11:01Z</dcterms:created>
  <dcterms:modified xsi:type="dcterms:W3CDTF">2026-04-15T07:23:35Z</dcterms:modified>
</cp:coreProperties>
</file>