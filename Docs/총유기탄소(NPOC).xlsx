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OneDrive\바탕 화면\"/>
    </mc:Choice>
  </mc:AlternateContent>
  <xr:revisionPtr revIDLastSave="0" documentId="8_{45D921DD-612C-4610-92A9-D83BB597FF82}" xr6:coauthVersionLast="47" xr6:coauthVersionMax="47" xr10:uidLastSave="{00000000-0000-0000-0000-000000000000}"/>
  <bookViews>
    <workbookView xWindow="-120" yWindow="-120" windowWidth="38640" windowHeight="21120" xr2:uid="{D7D57B9B-1B1A-4EBA-99A7-855B99FE594E}"/>
  </bookViews>
  <sheets>
    <sheet name="TOC(NPOC)" sheetId="1" r:id="rId1"/>
  </sheets>
  <externalReferences>
    <externalReference r:id="rId2"/>
  </externalReferences>
  <definedNames>
    <definedName name="BOD자료A">#REF!</definedName>
    <definedName name="BOD자료B">#REF!</definedName>
    <definedName name="COD자료A">#REF!</definedName>
    <definedName name="COD자료B">#REF!</definedName>
    <definedName name="NH3자료A">#REF!</definedName>
    <definedName name="NH3자료B">#REF!</definedName>
    <definedName name="NHexan자료A">#REF!</definedName>
    <definedName name="NHexan자료B">#REF!</definedName>
    <definedName name="NO2자료A">#REF!</definedName>
    <definedName name="NO2자료B">#REF!</definedName>
    <definedName name="NO3자료A">#REF!</definedName>
    <definedName name="NO3자료B">#REF!</definedName>
    <definedName name="NPOC자료A">#REF!</definedName>
    <definedName name="NPOC자료B">#REF!</definedName>
    <definedName name="Phenolic자료A">#REF!</definedName>
    <definedName name="Phenolic자료B">#REF!</definedName>
    <definedName name="PO4자료A">#REF!</definedName>
    <definedName name="PO4자료B">#REF!</definedName>
    <definedName name="_xlnm.Print_Area" localSheetId="0">'TOC(NPOC)'!$A$1:$H$39</definedName>
    <definedName name="SS자료A">#REF!</definedName>
    <definedName name="SS자료B">#REF!</definedName>
    <definedName name="TCIC자료A">#REF!</definedName>
    <definedName name="TCIC자료B">#REF!</definedName>
    <definedName name="TN자료A">#REF!</definedName>
    <definedName name="TN자료B">#REF!</definedName>
    <definedName name="TP자료A">#REF!</definedName>
    <definedName name="TP자료B">#REF!</definedName>
    <definedName name="TS자료A">#REF!</definedName>
    <definedName name="TS자료B">#REF!</definedName>
    <definedName name="VS자료A">#REF!</definedName>
    <definedName name="VS자료B">#REF!</definedName>
    <definedName name="Z_2475CC25_82DC_4A5E_985D_16382096585A_.wvu.PrintArea" localSheetId="0" hidden="1">'TOC(NPOC)'!$A$1:$P$39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" i="1" l="1"/>
  <c r="G8" i="1"/>
  <c r="O8" i="1"/>
  <c r="G9" i="1"/>
  <c r="O9" i="1"/>
  <c r="G10" i="1"/>
  <c r="O10" i="1"/>
  <c r="G11" i="1"/>
  <c r="O11" i="1"/>
  <c r="G12" i="1"/>
  <c r="O12" i="1"/>
  <c r="G13" i="1"/>
  <c r="O13" i="1"/>
  <c r="G14" i="1"/>
  <c r="O14" i="1"/>
  <c r="G15" i="1"/>
  <c r="O15" i="1"/>
  <c r="G16" i="1"/>
  <c r="O16" i="1"/>
  <c r="G17" i="1"/>
  <c r="O17" i="1"/>
  <c r="G18" i="1"/>
  <c r="O18" i="1"/>
  <c r="G19" i="1"/>
  <c r="O19" i="1"/>
  <c r="G20" i="1"/>
  <c r="O20" i="1"/>
  <c r="G21" i="1"/>
  <c r="O21" i="1"/>
  <c r="G22" i="1"/>
  <c r="O22" i="1"/>
  <c r="G23" i="1"/>
  <c r="O23" i="1"/>
  <c r="G24" i="1"/>
  <c r="O24" i="1"/>
  <c r="G25" i="1"/>
  <c r="O25" i="1"/>
  <c r="G26" i="1"/>
  <c r="O26" i="1"/>
  <c r="G27" i="1"/>
  <c r="O27" i="1"/>
  <c r="G28" i="1"/>
  <c r="O28" i="1"/>
  <c r="G29" i="1"/>
  <c r="O29" i="1"/>
  <c r="G30" i="1"/>
  <c r="O30" i="1"/>
  <c r="G31" i="1"/>
  <c r="O31" i="1"/>
  <c r="G32" i="1"/>
  <c r="O32" i="1"/>
  <c r="G33" i="1"/>
  <c r="O33" i="1"/>
  <c r="G34" i="1"/>
  <c r="O34" i="1"/>
  <c r="G35" i="1"/>
  <c r="O35" i="1"/>
  <c r="G36" i="1"/>
  <c r="O36" i="1"/>
  <c r="G37" i="1"/>
  <c r="O37" i="1"/>
</calcChain>
</file>

<file path=xl/sharedStrings.xml><?xml version="1.0" encoding="utf-8"?>
<sst xmlns="http://schemas.openxmlformats.org/spreadsheetml/2006/main" count="58" uniqueCount="36">
  <si>
    <t>이예림</t>
    <phoneticPr fontId="3" type="noConversion"/>
  </si>
  <si>
    <t>윤민영</t>
  </si>
  <si>
    <t>기술책임자</t>
    <phoneticPr fontId="3" type="noConversion"/>
  </si>
  <si>
    <t>TOC - 분석담당자</t>
    <phoneticPr fontId="3" type="noConversion"/>
  </si>
  <si>
    <t>[율촌]12-30-18</t>
  </si>
  <si>
    <t>한화오션에코텍</t>
  </si>
  <si>
    <t>[율촌]12-30-16</t>
  </si>
  <si>
    <t>포스코 필바라 리튬솔루션</t>
  </si>
  <si>
    <t>[율촌]12-30-08</t>
  </si>
  <si>
    <t>㈜세아제강 4블럭</t>
  </si>
  <si>
    <t>[율촌]12-30-03</t>
  </si>
  <si>
    <t>쓰리에스글로벌</t>
  </si>
  <si>
    <t>[율촌]12-30-02</t>
  </si>
  <si>
    <t>DSR제강㈜</t>
  </si>
  <si>
    <t>[율촌]12-30-01</t>
  </si>
  <si>
    <t>㈜한맥데코산업</t>
  </si>
  <si>
    <t>12-30-04</t>
  </si>
  <si>
    <t>(주)엘지화학[CA/EDC공장]</t>
  </si>
  <si>
    <t>12-12-05</t>
  </si>
  <si>
    <t>롯데케미칼(주)[첨단소재여수공장]</t>
  </si>
  <si>
    <t>Remark</t>
  </si>
  <si>
    <t>Result(㎎/L)</t>
  </si>
  <si>
    <t>희석배수</t>
  </si>
  <si>
    <t>NPOC(mg/L)</t>
    <phoneticPr fontId="3" type="noConversion"/>
  </si>
  <si>
    <t>-</t>
    <phoneticPr fontId="3" type="noConversion"/>
  </si>
  <si>
    <t>시료량(uL)</t>
  </si>
  <si>
    <t>시료명</t>
    <phoneticPr fontId="3" type="noConversion"/>
  </si>
  <si>
    <t>AU</t>
    <phoneticPr fontId="3" type="noConversion"/>
  </si>
  <si>
    <t>STANDARD</t>
    <phoneticPr fontId="3" type="noConversion"/>
  </si>
  <si>
    <t>1. 공공폐수처리시설 설치 및 운영관리지침(8차개정) "공공폐수처리시설의 수질검사" 항</t>
  </si>
  <si>
    <t>▧ 관련근거</t>
  </si>
  <si>
    <t>총 유기탄소 (TOC) = 비정화성 유기탄소 (NPOC)</t>
    <phoneticPr fontId="3" type="noConversion"/>
  </si>
  <si>
    <t>▧ 결과표시</t>
  </si>
  <si>
    <t>ES 04311.1c 총 유기탄소 - 고온연소산화법</t>
    <phoneticPr fontId="3" type="noConversion"/>
  </si>
  <si>
    <t>▧ 분석방법</t>
  </si>
  <si>
    <t>▧ 문서번호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</si>
</sst>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@\ \ \ \ \ \ \ \ &quot;(서명)&quot;"/>
    <numFmt numFmtId="177" formatCode="0.0"/>
    <numFmt numFmtId="178" formatCode="00\-00\-00"/>
    <numFmt numFmtId="179" formatCode="0.#0"/>
    <numFmt numFmtId="180" formatCode="&quot;R2 :&quot;\ 0.00000"/>
    <numFmt numFmtId="181" formatCode="0.0000"/>
    <numFmt numFmtId="182" formatCode="&quot;절편_x000a_&quot;General&quot; (b)&quot;"/>
    <numFmt numFmtId="183" formatCode="&quot;기울기_x000a_&quot;General&quot; (a)&quot;"/>
    <numFmt numFmtId="184" formatCode="&quot;ST-5(mg/L)_x000a_&quot;0.0"/>
    <numFmt numFmtId="185" formatCode="&quot;ST-4(mg/L)_x000a_&quot;0.0"/>
    <numFmt numFmtId="186" formatCode="&quot;ST-3(mg/L)_x000a_&quot;0.0"/>
    <numFmt numFmtId="187" formatCode="&quot;ST-2(mg/L)_x000a_&quot;0.0"/>
    <numFmt numFmtId="188" formatCode="&quot;ST-1(mg/L)_x000a_&quot;0.0"/>
    <numFmt numFmtId="189" formatCode="dddd"/>
    <numFmt numFmtId="190" formatCode="&quot;조회모드 : &quot;\ 0"/>
    <numFmt numFmtId="191" formatCode="0_);[Red]\(0\)"/>
    <numFmt numFmtId="192" formatCode="&quot;TOC(NPOC)&quot;\ yyyy/mm/dd\(aaa\)"/>
    <numFmt numFmtId="193" formatCode="\_xd83d_\_xdd10_####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BIZ한마음고딕 L"/>
      <family val="1"/>
      <charset val="129"/>
    </font>
    <font>
      <sz val="8"/>
      <name val="맑은 고딕"/>
      <family val="2"/>
      <charset val="129"/>
      <scheme val="minor"/>
    </font>
    <font>
      <sz val="12"/>
      <color theme="1"/>
      <name val="KBIZ한마음고딕 R"/>
      <family val="1"/>
      <charset val="129"/>
    </font>
    <font>
      <sz val="12"/>
      <name val="KBIZ한마음고딕 R"/>
      <family val="1"/>
      <charset val="129"/>
    </font>
    <font>
      <sz val="11"/>
      <color theme="1"/>
      <name val="KBIZ한마음고딕 R"/>
      <family val="1"/>
      <charset val="129"/>
    </font>
    <font>
      <sz val="12"/>
      <color theme="0"/>
      <name val="KBIZ한마음고딕 R"/>
      <family val="1"/>
      <charset val="129"/>
    </font>
    <font>
      <b/>
      <i/>
      <sz val="12"/>
      <color theme="0"/>
      <name val="KBIZ한마음고딕 R"/>
      <family val="1"/>
      <charset val="129"/>
    </font>
    <font>
      <i/>
      <sz val="12"/>
      <color theme="1"/>
      <name val="KBIZ한마음고딕 R"/>
      <family val="1"/>
      <charset val="129"/>
    </font>
    <font>
      <sz val="14"/>
      <color theme="1"/>
      <name val="KBIZ한마음고딕 R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50">
    <xf numFmtId="0" fontId="0" fillId="0" borderId="0" xfId="0">
      <alignment vertical="center"/>
    </xf>
    <xf numFmtId="0" fontId="2" fillId="0" borderId="0" xfId="0" applyFont="1">
      <alignment vertical="center"/>
    </xf>
    <xf numFmtId="176" fontId="4" fillId="0" borderId="0" xfId="0" applyNumberFormat="1" applyFont="1" applyAlignment="1">
      <alignment horizontal="right" vertical="center" indent="1"/>
    </xf>
    <xf numFmtId="0" fontId="4" fillId="0" borderId="0" xfId="0" applyFont="1">
      <alignment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/>
    <xf numFmtId="0" fontId="4" fillId="0" borderId="0" xfId="1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2" fontId="4" fillId="2" borderId="3" xfId="2" applyNumberFormat="1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179" fontId="4" fillId="2" borderId="3" xfId="2" applyNumberFormat="1" applyFont="1" applyFill="1" applyBorder="1" applyAlignment="1">
      <alignment horizontal="center" vertical="center"/>
    </xf>
    <xf numFmtId="2" fontId="4" fillId="2" borderId="3" xfId="2" applyNumberFormat="1" applyFont="1" applyFill="1" applyBorder="1" applyAlignment="1">
      <alignment horizontal="center" vertical="center"/>
    </xf>
    <xf numFmtId="180" fontId="4" fillId="2" borderId="4" xfId="0" applyNumberFormat="1" applyFont="1" applyFill="1" applyBorder="1" applyAlignment="1">
      <alignment horizontal="center" vertical="center"/>
    </xf>
    <xf numFmtId="181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82" fontId="4" fillId="2" borderId="5" xfId="2" applyNumberFormat="1" applyFont="1" applyFill="1" applyBorder="1" applyAlignment="1">
      <alignment horizontal="center" vertical="center" wrapText="1"/>
    </xf>
    <xf numFmtId="183" fontId="4" fillId="2" borderId="5" xfId="2" applyNumberFormat="1" applyFont="1" applyFill="1" applyBorder="1" applyAlignment="1">
      <alignment horizontal="center" vertical="center" wrapText="1"/>
    </xf>
    <xf numFmtId="184" fontId="6" fillId="2" borderId="5" xfId="2" applyNumberFormat="1" applyFont="1" applyFill="1" applyBorder="1" applyAlignment="1">
      <alignment horizontal="center" vertical="center" wrapText="1"/>
    </xf>
    <xf numFmtId="185" fontId="6" fillId="2" borderId="5" xfId="2" applyNumberFormat="1" applyFont="1" applyFill="1" applyBorder="1" applyAlignment="1">
      <alignment horizontal="center" vertical="center" wrapText="1"/>
    </xf>
    <xf numFmtId="186" fontId="6" fillId="2" borderId="5" xfId="2" applyNumberFormat="1" applyFont="1" applyFill="1" applyBorder="1" applyAlignment="1">
      <alignment horizontal="center" vertical="center" wrapText="1"/>
    </xf>
    <xf numFmtId="187" fontId="6" fillId="2" borderId="5" xfId="2" applyNumberFormat="1" applyFont="1" applyFill="1" applyBorder="1" applyAlignment="1">
      <alignment horizontal="center" vertical="center" wrapText="1"/>
    </xf>
    <xf numFmtId="188" fontId="6" fillId="2" borderId="5" xfId="2" applyNumberFormat="1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/>
    </xf>
    <xf numFmtId="0" fontId="4" fillId="0" borderId="2" xfId="3" applyFont="1" applyBorder="1"/>
    <xf numFmtId="0" fontId="4" fillId="0" borderId="2" xfId="3" applyFont="1" applyBorder="1" applyAlignment="1">
      <alignment horizontal="left" vertical="center" indent="1"/>
    </xf>
    <xf numFmtId="189" fontId="4" fillId="0" borderId="2" xfId="3" applyNumberFormat="1" applyFont="1" applyBorder="1" applyAlignment="1">
      <alignment horizontal="distributed" vertical="distributed" indent="1"/>
    </xf>
    <xf numFmtId="0" fontId="4" fillId="0" borderId="0" xfId="3" applyFont="1"/>
    <xf numFmtId="0" fontId="4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4" fillId="0" borderId="0" xfId="3" applyFont="1" applyAlignment="1">
      <alignment horizontal="left" vertical="center" indent="1"/>
    </xf>
    <xf numFmtId="189" fontId="4" fillId="0" borderId="0" xfId="3" applyNumberFormat="1" applyFont="1" applyAlignment="1">
      <alignment horizontal="distributed" vertical="distributed" indent="1"/>
    </xf>
    <xf numFmtId="190" fontId="7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distributed" vertical="distributed" indent="1"/>
    </xf>
    <xf numFmtId="0" fontId="7" fillId="0" borderId="0" xfId="0" applyFont="1" applyAlignment="1">
      <alignment horizontal="center" vertical="center"/>
    </xf>
    <xf numFmtId="191" fontId="8" fillId="0" borderId="0" xfId="0" applyNumberFormat="1" applyFont="1" applyAlignment="1">
      <alignment horizontal="center" vertical="center"/>
    </xf>
    <xf numFmtId="192" fontId="9" fillId="0" borderId="0" xfId="3" applyNumberFormat="1" applyFont="1" applyAlignment="1">
      <alignment horizontal="left" vertical="center" indent="1"/>
    </xf>
    <xf numFmtId="193" fontId="10" fillId="0" borderId="0" xfId="3" applyNumberFormat="1" applyFont="1" applyAlignment="1">
      <alignment horizontal="center" vertical="center"/>
    </xf>
  </cellXfs>
  <cellStyles count="4">
    <cellStyle name="표준" xfId="0" builtinId="0"/>
    <cellStyle name="표준 3" xfId="3" xr:uid="{2841A703-F013-4F08-AA23-527A34C6A1BF}"/>
    <cellStyle name="표준 4" xfId="2" xr:uid="{00619435-33A4-42CB-9E7F-AB4C9AFAAD56}"/>
    <cellStyle name="표준 5" xfId="1" xr:uid="{22866E6A-DFD9-48F3-9F3E-DB5D0D763D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F$1" max="4440" min="3" page="10" val="183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571501</xdr:colOff>
      <xdr:row>2</xdr:row>
      <xdr:rowOff>163286</xdr:rowOff>
    </xdr:from>
    <xdr:to>
      <xdr:col>10</xdr:col>
      <xdr:colOff>469414</xdr:colOff>
      <xdr:row>3</xdr:row>
      <xdr:rowOff>227893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7D1C182-E5A7-4909-A919-AA6B844C1FC5}"/>
            </a:ext>
          </a:extLst>
        </xdr:cNvPr>
        <xdr:cNvGrpSpPr/>
      </xdr:nvGrpSpPr>
      <xdr:grpSpPr>
        <a:xfrm>
          <a:off x="11838215" y="898072"/>
          <a:ext cx="3503806" cy="432000"/>
          <a:chOff x="7743817" y="1061358"/>
          <a:chExt cx="3503814" cy="43200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Spinner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EA40000}"/>
                  </a:ext>
                </a:extLst>
              </xdr:cNvPr>
              <xdr:cNvSpPr/>
            </xdr:nvSpPr>
            <xdr:spPr bwMode="auto">
              <a:xfrm>
                <a:off x="7743817" y="1096736"/>
                <a:ext cx="380998" cy="35786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pic macro="[0]!조회_조지기">
        <xdr:nvPicPr>
          <xdr:cNvPr id="3" name="그림 2">
            <a:extLst>
              <a:ext uri="{FF2B5EF4-FFF2-40B4-BE49-F238E27FC236}">
                <a16:creationId xmlns:a16="http://schemas.microsoft.com/office/drawing/2014/main" id="{BD72733E-B951-ADD8-70E4-FE0C1D8488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8625394" y="1109523"/>
            <a:ext cx="375525" cy="335671"/>
          </a:xfrm>
          <a:prstGeom prst="rect">
            <a:avLst/>
          </a:prstGeom>
        </xdr:spPr>
      </xdr:pic>
      <xdr:pic macro="[0]!GoDATA">
        <xdr:nvPicPr>
          <xdr:cNvPr id="4" name="그림 3">
            <a:extLst>
              <a:ext uri="{FF2B5EF4-FFF2-40B4-BE49-F238E27FC236}">
                <a16:creationId xmlns:a16="http://schemas.microsoft.com/office/drawing/2014/main" id="{CB55A50B-024B-92A8-8FCF-87C8EA11FA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6F5FA"/>
              </a:clrFrom>
              <a:clrTo>
                <a:srgbClr val="F6F5FA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8187347" y="1095384"/>
            <a:ext cx="375525" cy="363948"/>
          </a:xfrm>
          <a:prstGeom prst="rect">
            <a:avLst/>
          </a:prstGeom>
        </xdr:spPr>
      </xdr:pic>
      <xdr:pic macro="[0]!LIST불러오기">
        <xdr:nvPicPr>
          <xdr:cNvPr id="5" name="그림 4">
            <a:extLst>
              <a:ext uri="{FF2B5EF4-FFF2-40B4-BE49-F238E27FC236}">
                <a16:creationId xmlns:a16="http://schemas.microsoft.com/office/drawing/2014/main" id="{558BDDFF-8C02-EBFB-A766-7885AAA7AF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9063441" y="1098023"/>
            <a:ext cx="375525" cy="358671"/>
          </a:xfrm>
          <a:prstGeom prst="rect">
            <a:avLst/>
          </a:prstGeom>
        </xdr:spPr>
      </xdr:pic>
      <xdr:pic macro="[0]!copythatfile">
        <xdr:nvPicPr>
          <xdr:cNvPr id="6" name="그림 5">
            <a:extLst>
              <a:ext uri="{FF2B5EF4-FFF2-40B4-BE49-F238E27FC236}">
                <a16:creationId xmlns:a16="http://schemas.microsoft.com/office/drawing/2014/main" id="{537CA131-0DC4-066C-9F33-FA7CBC585F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01488" y="1098404"/>
            <a:ext cx="375525" cy="357908"/>
          </a:xfrm>
          <a:prstGeom prst="rect">
            <a:avLst/>
          </a:prstGeom>
        </xdr:spPr>
      </xdr:pic>
      <xdr:pic macro="[0]!그림14_Click">
        <xdr:nvPicPr>
          <xdr:cNvPr id="7" name="그림 6">
            <a:extLst>
              <a:ext uri="{FF2B5EF4-FFF2-40B4-BE49-F238E27FC236}">
                <a16:creationId xmlns:a16="http://schemas.microsoft.com/office/drawing/2014/main" id="{6DE12715-AF11-39E9-182E-8AF287BC98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34057" y="1098404"/>
            <a:ext cx="375525" cy="357908"/>
          </a:xfrm>
          <a:prstGeom prst="rect">
            <a:avLst/>
          </a:prstGeom>
        </xdr:spPr>
      </xdr:pic>
      <xdr:pic macro="[0]!수식">
        <xdr:nvPicPr>
          <xdr:cNvPr id="8" name="그림 7">
            <a:extLst>
              <a:ext uri="{FF2B5EF4-FFF2-40B4-BE49-F238E27FC236}">
                <a16:creationId xmlns:a16="http://schemas.microsoft.com/office/drawing/2014/main" id="{0945933B-28E4-7780-929D-5F97E16C4F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39535" y="1061358"/>
            <a:ext cx="432000" cy="432000"/>
          </a:xfrm>
          <a:prstGeom prst="rect">
            <a:avLst/>
          </a:prstGeom>
        </xdr:spPr>
      </xdr:pic>
      <xdr:pic macro="[0]!EASY">
        <xdr:nvPicPr>
          <xdr:cNvPr id="9" name="그림 8" hidden="1">
            <a:extLst>
              <a:ext uri="{FF2B5EF4-FFF2-40B4-BE49-F238E27FC236}">
                <a16:creationId xmlns:a16="http://schemas.microsoft.com/office/drawing/2014/main" id="{9DB8B932-23C2-8BA5-0588-9ABD781F49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72106" y="1103803"/>
            <a:ext cx="375525" cy="347110"/>
          </a:xfrm>
          <a:prstGeom prst="rect">
            <a:avLst/>
          </a:prstGeom>
        </xdr:spPr>
      </xdr:pic>
    </xdr:grp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&#48516;&#49437;&#44284;\NEW-CHUNG%20HA\CHUNGHA-&#51060;&#50696;&#47548;.xlsm" TargetMode="External"/><Relationship Id="rId1" Type="http://schemas.openxmlformats.org/officeDocument/2006/relationships/externalLinkPath" Target="file:///X:\&#48516;&#49437;&#44284;\NEW-CHUNG%20HA\CHUNGHA-&#51060;&#50696;&#4754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D"/>
      <sheetName val="SS"/>
      <sheetName val="TN"/>
      <sheetName val="TOC(TCIC)"/>
      <sheetName val="TP"/>
      <sheetName val="Phenols"/>
      <sheetName val="COD-DATA"/>
      <sheetName val="N-Hexan"/>
      <sheetName val="배출업소시험성적서"/>
      <sheetName val="BOD-DATA"/>
      <sheetName val="SS-DATA"/>
      <sheetName val="TOC(TCIC)-DATA"/>
      <sheetName val="TOC(NPOC)-DATA"/>
      <sheetName val="Phenols-DATA"/>
      <sheetName val="N-Hexan-DATA"/>
      <sheetName val="TN-DATA"/>
      <sheetName val="TP-DATA"/>
      <sheetName val="NH3-DATA"/>
      <sheetName val="NO2-DATA"/>
      <sheetName val="NO3-DATA"/>
      <sheetName val="PO4-DATA"/>
      <sheetName val="VS-DATA"/>
      <sheetName val="TS-DATA"/>
      <sheetName val="설정"/>
      <sheetName val="연습장"/>
      <sheetName val="ERROR LIST"/>
      <sheetName val="분석계획"/>
      <sheetName val="의뢰번호"/>
      <sheetName val="COD"/>
      <sheetName val="NH3"/>
      <sheetName val="NO2"/>
      <sheetName val="NO3"/>
      <sheetName val="PO4"/>
      <sheetName val="VS"/>
      <sheetName val="TS"/>
      <sheetName val="시약"/>
      <sheetName val="시약BIG-DATA"/>
      <sheetName val="시약 기초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1A21-DE7B-483A-BA9F-DAB9EC1E88F7}">
  <sheetPr codeName="Sheet23">
    <tabColor theme="9" tint="0.39997558519241921"/>
  </sheetPr>
  <dimension ref="A1:P41"/>
  <sheetViews>
    <sheetView tabSelected="1" view="pageBreakPreview" zoomScale="70" zoomScaleNormal="70" zoomScaleSheetLayoutView="70" zoomScalePageLayoutView="40" workbookViewId="0">
      <selection activeCell="A41" sqref="A41"/>
    </sheetView>
  </sheetViews>
  <sheetFormatPr defaultColWidth="18.375" defaultRowHeight="24.75" customHeight="1" x14ac:dyDescent="0.3"/>
  <cols>
    <col min="1" max="1" width="30.375" style="1" customWidth="1"/>
    <col min="2" max="8" width="16.75" style="1" customWidth="1"/>
    <col min="9" max="9" width="30.5" style="1" customWidth="1"/>
    <col min="10" max="16" width="16.75" style="1" customWidth="1"/>
    <col min="17" max="16384" width="18.375" style="1"/>
  </cols>
  <sheetData>
    <row r="1" spans="1:16" s="3" customFormat="1" ht="29.25" customHeight="1" x14ac:dyDescent="0.4">
      <c r="A1" s="45" t="s">
        <v>35</v>
      </c>
      <c r="B1" s="48">
        <v>45658</v>
      </c>
      <c r="C1" s="48"/>
      <c r="D1" s="40"/>
      <c r="E1" s="47">
        <v>52</v>
      </c>
      <c r="F1" s="46">
        <v>1830</v>
      </c>
      <c r="G1" s="39"/>
      <c r="H1" s="49"/>
      <c r="I1" s="45" t="s">
        <v>35</v>
      </c>
      <c r="J1" s="48">
        <f>B1</f>
        <v>45658</v>
      </c>
      <c r="K1" s="48"/>
      <c r="L1" s="40"/>
      <c r="M1" s="47">
        <v>0</v>
      </c>
      <c r="N1" s="46">
        <v>914</v>
      </c>
      <c r="O1" s="39"/>
      <c r="P1" s="39"/>
    </row>
    <row r="2" spans="1:16" s="3" customFormat="1" ht="29.25" customHeight="1" x14ac:dyDescent="0.4">
      <c r="A2" s="45" t="s">
        <v>34</v>
      </c>
      <c r="B2" s="42" t="s">
        <v>33</v>
      </c>
      <c r="C2" s="40"/>
      <c r="D2" s="44"/>
      <c r="E2" s="41"/>
      <c r="F2" s="41"/>
      <c r="G2" s="39"/>
      <c r="H2" s="39"/>
      <c r="I2" s="45" t="s">
        <v>34</v>
      </c>
      <c r="J2" s="42" t="s">
        <v>33</v>
      </c>
      <c r="K2" s="40"/>
      <c r="L2" s="44"/>
      <c r="M2" s="41"/>
      <c r="N2" s="41"/>
      <c r="O2" s="39"/>
      <c r="P2" s="39"/>
    </row>
    <row r="3" spans="1:16" s="3" customFormat="1" ht="29.25" customHeight="1" x14ac:dyDescent="0.4">
      <c r="A3" s="43" t="s">
        <v>32</v>
      </c>
      <c r="B3" s="42" t="s">
        <v>31</v>
      </c>
      <c r="C3" s="40"/>
      <c r="D3" s="41"/>
      <c r="E3" s="40"/>
      <c r="F3" s="40"/>
      <c r="G3" s="39"/>
      <c r="H3" s="39"/>
      <c r="I3" s="43" t="s">
        <v>32</v>
      </c>
      <c r="J3" s="42" t="s">
        <v>31</v>
      </c>
      <c r="K3" s="40"/>
      <c r="L3" s="41"/>
      <c r="M3" s="40"/>
      <c r="N3" s="40"/>
      <c r="O3" s="39"/>
      <c r="P3" s="39"/>
    </row>
    <row r="4" spans="1:16" s="3" customFormat="1" ht="29.25" customHeight="1" thickBot="1" x14ac:dyDescent="0.45">
      <c r="A4" s="38" t="s">
        <v>30</v>
      </c>
      <c r="B4" s="37" t="s">
        <v>29</v>
      </c>
      <c r="C4" s="37"/>
      <c r="D4" s="37"/>
      <c r="E4" s="37"/>
      <c r="F4" s="37"/>
      <c r="G4" s="37"/>
      <c r="H4" s="36"/>
      <c r="I4" s="38" t="s">
        <v>30</v>
      </c>
      <c r="J4" s="37" t="s">
        <v>29</v>
      </c>
      <c r="K4" s="37"/>
      <c r="L4" s="37"/>
      <c r="M4" s="37"/>
      <c r="N4" s="37"/>
      <c r="O4" s="37"/>
      <c r="P4" s="36"/>
    </row>
    <row r="5" spans="1:16" s="3" customFormat="1" ht="36.75" customHeight="1" thickTop="1" x14ac:dyDescent="0.3">
      <c r="A5" s="35" t="s">
        <v>28</v>
      </c>
      <c r="B5" s="34">
        <v>0</v>
      </c>
      <c r="C5" s="33">
        <v>5</v>
      </c>
      <c r="D5" s="32">
        <v>10</v>
      </c>
      <c r="E5" s="31">
        <v>50</v>
      </c>
      <c r="F5" s="30">
        <v>100</v>
      </c>
      <c r="G5" s="29">
        <v>3.0339999999999998</v>
      </c>
      <c r="H5" s="28">
        <v>0</v>
      </c>
      <c r="I5" s="35" t="s">
        <v>28</v>
      </c>
      <c r="J5" s="34">
        <v>0</v>
      </c>
      <c r="K5" s="33">
        <v>5</v>
      </c>
      <c r="L5" s="32">
        <v>10</v>
      </c>
      <c r="M5" s="31">
        <v>50</v>
      </c>
      <c r="N5" s="30">
        <v>100</v>
      </c>
      <c r="O5" s="29">
        <v>3.0339999999999998</v>
      </c>
      <c r="P5" s="28">
        <v>0</v>
      </c>
    </row>
    <row r="6" spans="1:16" s="3" customFormat="1" ht="29.25" customHeight="1" x14ac:dyDescent="0.3">
      <c r="A6" s="27" t="s">
        <v>27</v>
      </c>
      <c r="B6" s="26">
        <v>0.65810000000000002</v>
      </c>
      <c r="C6" s="26">
        <v>16.16</v>
      </c>
      <c r="D6" s="26">
        <v>29.06</v>
      </c>
      <c r="E6" s="26">
        <v>154</v>
      </c>
      <c r="F6" s="26">
        <v>303.2</v>
      </c>
      <c r="G6" s="25">
        <v>0.99990000000000001</v>
      </c>
      <c r="H6" s="25"/>
      <c r="I6" s="27" t="s">
        <v>27</v>
      </c>
      <c r="J6" s="26">
        <v>0.65810000000000002</v>
      </c>
      <c r="K6" s="26">
        <v>16.16</v>
      </c>
      <c r="L6" s="26">
        <v>29.06</v>
      </c>
      <c r="M6" s="26">
        <v>154</v>
      </c>
      <c r="N6" s="26">
        <v>303.2</v>
      </c>
      <c r="O6" s="25">
        <v>0.99990000000000001</v>
      </c>
      <c r="P6" s="25"/>
    </row>
    <row r="7" spans="1:16" s="3" customFormat="1" ht="29.25" customHeight="1" thickBot="1" x14ac:dyDescent="0.35">
      <c r="A7" s="20" t="s">
        <v>26</v>
      </c>
      <c r="B7" s="20" t="s">
        <v>25</v>
      </c>
      <c r="C7" s="23" t="s">
        <v>24</v>
      </c>
      <c r="D7" s="24" t="s">
        <v>24</v>
      </c>
      <c r="E7" s="23" t="s">
        <v>23</v>
      </c>
      <c r="F7" s="22" t="s">
        <v>22</v>
      </c>
      <c r="G7" s="21" t="s">
        <v>21</v>
      </c>
      <c r="H7" s="20" t="s">
        <v>20</v>
      </c>
      <c r="I7" s="20" t="s">
        <v>26</v>
      </c>
      <c r="J7" s="20" t="s">
        <v>25</v>
      </c>
      <c r="K7" s="23" t="s">
        <v>24</v>
      </c>
      <c r="L7" s="24" t="s">
        <v>24</v>
      </c>
      <c r="M7" s="23" t="s">
        <v>23</v>
      </c>
      <c r="N7" s="22" t="s">
        <v>22</v>
      </c>
      <c r="O7" s="21" t="s">
        <v>21</v>
      </c>
      <c r="P7" s="20" t="s">
        <v>20</v>
      </c>
    </row>
    <row r="8" spans="1:16" s="3" customFormat="1" ht="29.25" customHeight="1" thickTop="1" x14ac:dyDescent="0.3">
      <c r="A8" s="17" t="s">
        <v>19</v>
      </c>
      <c r="B8" s="14">
        <v>50</v>
      </c>
      <c r="C8" s="14"/>
      <c r="D8" s="14"/>
      <c r="E8" s="16">
        <v>34.090000000000003</v>
      </c>
      <c r="F8" s="19">
        <v>1</v>
      </c>
      <c r="G8" s="15">
        <f>IF(A8:A37&lt;&gt;"",ROUND(E8:E37*F8:F37,1),"")</f>
        <v>34.1</v>
      </c>
      <c r="H8" s="18" t="s">
        <v>18</v>
      </c>
      <c r="I8" s="17"/>
      <c r="J8" s="14"/>
      <c r="K8" s="14"/>
      <c r="L8" s="14"/>
      <c r="M8" s="16"/>
      <c r="N8" s="19"/>
      <c r="O8" s="15" t="str">
        <f>IF(I8:I37&lt;&gt;"",ROUND(M8:M37*N8:N37,1),"")</f>
        <v/>
      </c>
      <c r="P8" s="18"/>
    </row>
    <row r="9" spans="1:16" s="3" customFormat="1" ht="29.25" customHeight="1" x14ac:dyDescent="0.3">
      <c r="A9" s="17" t="s">
        <v>17</v>
      </c>
      <c r="B9" s="14">
        <v>50</v>
      </c>
      <c r="C9" s="14"/>
      <c r="D9" s="14"/>
      <c r="E9" s="16">
        <v>19.05</v>
      </c>
      <c r="F9" s="19">
        <v>1</v>
      </c>
      <c r="G9" s="15">
        <f>IF(A9:A38&lt;&gt;"",ROUND(E9:E38*F9:F38,1),"")</f>
        <v>19.100000000000001</v>
      </c>
      <c r="H9" s="18" t="s">
        <v>16</v>
      </c>
      <c r="I9" s="17"/>
      <c r="J9" s="14"/>
      <c r="K9" s="14"/>
      <c r="L9" s="14"/>
      <c r="M9" s="16"/>
      <c r="N9" s="19"/>
      <c r="O9" s="15" t="str">
        <f>IF(I9:I38&lt;&gt;"",ROUND(M9:M38*N9:N38,1),"")</f>
        <v/>
      </c>
      <c r="P9" s="18"/>
    </row>
    <row r="10" spans="1:16" s="3" customFormat="1" ht="29.25" customHeight="1" x14ac:dyDescent="0.3">
      <c r="A10" s="17" t="s">
        <v>15</v>
      </c>
      <c r="B10" s="14">
        <v>50</v>
      </c>
      <c r="C10" s="14"/>
      <c r="D10" s="14"/>
      <c r="E10" s="16">
        <v>18.829999999999998</v>
      </c>
      <c r="F10" s="19">
        <v>1</v>
      </c>
      <c r="G10" s="15">
        <f>IF(A10:A39&lt;&gt;"",ROUND(E10:E39*F10:F39,1),"")</f>
        <v>18.8</v>
      </c>
      <c r="H10" s="18" t="s">
        <v>14</v>
      </c>
      <c r="I10" s="17"/>
      <c r="J10" s="14"/>
      <c r="K10" s="14"/>
      <c r="L10" s="14"/>
      <c r="M10" s="16"/>
      <c r="N10" s="19"/>
      <c r="O10" s="15" t="str">
        <f>IF(I10:I39&lt;&gt;"",ROUND(M10:M39*N10:N39,1),"")</f>
        <v/>
      </c>
      <c r="P10" s="18"/>
    </row>
    <row r="11" spans="1:16" s="3" customFormat="1" ht="29.25" customHeight="1" x14ac:dyDescent="0.3">
      <c r="A11" s="17" t="s">
        <v>13</v>
      </c>
      <c r="B11" s="14">
        <v>50</v>
      </c>
      <c r="C11" s="14"/>
      <c r="D11" s="14"/>
      <c r="E11" s="16">
        <v>1.629</v>
      </c>
      <c r="F11" s="19">
        <v>1</v>
      </c>
      <c r="G11" s="15">
        <f>IF(A11:A40&lt;&gt;"",ROUND(E11:E40*F11:F40,1),"")</f>
        <v>1.6</v>
      </c>
      <c r="H11" s="18" t="s">
        <v>12</v>
      </c>
      <c r="I11" s="17"/>
      <c r="J11" s="14"/>
      <c r="K11" s="14"/>
      <c r="L11" s="14"/>
      <c r="M11" s="16"/>
      <c r="N11" s="19"/>
      <c r="O11" s="15" t="str">
        <f>IF(I11:I40&lt;&gt;"",ROUND(M11:M40*N11:N40,1),"")</f>
        <v/>
      </c>
      <c r="P11" s="18"/>
    </row>
    <row r="12" spans="1:16" s="3" customFormat="1" ht="29.25" customHeight="1" x14ac:dyDescent="0.3">
      <c r="A12" s="17" t="s">
        <v>11</v>
      </c>
      <c r="B12" s="14">
        <v>50</v>
      </c>
      <c r="C12" s="14"/>
      <c r="D12" s="14"/>
      <c r="E12" s="16">
        <v>12.6</v>
      </c>
      <c r="F12" s="19">
        <v>1</v>
      </c>
      <c r="G12" s="15">
        <f>IF(A12:A41&lt;&gt;"",ROUND(E12:E41*F12:F41,1),"")</f>
        <v>12.6</v>
      </c>
      <c r="H12" s="18" t="s">
        <v>10</v>
      </c>
      <c r="I12" s="17"/>
      <c r="J12" s="14"/>
      <c r="K12" s="14"/>
      <c r="L12" s="14"/>
      <c r="M12" s="16"/>
      <c r="N12" s="19"/>
      <c r="O12" s="15" t="str">
        <f>IF(I12:I41&lt;&gt;"",ROUND(M12:M41*N12:N41,1),"")</f>
        <v/>
      </c>
      <c r="P12" s="18"/>
    </row>
    <row r="13" spans="1:16" s="3" customFormat="1" ht="29.25" customHeight="1" x14ac:dyDescent="0.3">
      <c r="A13" s="17" t="s">
        <v>9</v>
      </c>
      <c r="B13" s="14">
        <v>50</v>
      </c>
      <c r="C13" s="14"/>
      <c r="D13" s="14"/>
      <c r="E13" s="16">
        <v>1.7390000000000001</v>
      </c>
      <c r="F13" s="19">
        <v>1</v>
      </c>
      <c r="G13" s="15">
        <f>IF(A13:A42&lt;&gt;"",ROUND(E13:E42*F13:F42,1),"")</f>
        <v>1.7</v>
      </c>
      <c r="H13" s="18" t="s">
        <v>8</v>
      </c>
      <c r="I13" s="17"/>
      <c r="J13" s="14"/>
      <c r="K13" s="14"/>
      <c r="L13" s="14"/>
      <c r="M13" s="16"/>
      <c r="N13" s="19"/>
      <c r="O13" s="15" t="str">
        <f>IF(I13:I42&lt;&gt;"",ROUND(M13:M42*N13:N42,1),"")</f>
        <v/>
      </c>
      <c r="P13" s="18"/>
    </row>
    <row r="14" spans="1:16" s="3" customFormat="1" ht="29.25" customHeight="1" x14ac:dyDescent="0.3">
      <c r="A14" s="17" t="s">
        <v>7</v>
      </c>
      <c r="B14" s="14">
        <v>50</v>
      </c>
      <c r="C14" s="14"/>
      <c r="D14" s="14"/>
      <c r="E14" s="16">
        <v>3.2730000000000001</v>
      </c>
      <c r="F14" s="19">
        <v>1</v>
      </c>
      <c r="G14" s="15">
        <f>IF(A14:A43&lt;&gt;"",ROUND(E14:E43*F14:F43,1),"")</f>
        <v>3.3</v>
      </c>
      <c r="H14" s="18" t="s">
        <v>6</v>
      </c>
      <c r="I14" s="17"/>
      <c r="J14" s="14"/>
      <c r="K14" s="14"/>
      <c r="L14" s="14"/>
      <c r="M14" s="16"/>
      <c r="N14" s="19"/>
      <c r="O14" s="15" t="str">
        <f>IF(I14:I43&lt;&gt;"",ROUND(M14:M43*N14:N43,1),"")</f>
        <v/>
      </c>
      <c r="P14" s="18"/>
    </row>
    <row r="15" spans="1:16" s="3" customFormat="1" ht="29.25" customHeight="1" x14ac:dyDescent="0.3">
      <c r="A15" s="17" t="s">
        <v>5</v>
      </c>
      <c r="B15" s="14">
        <v>50</v>
      </c>
      <c r="C15" s="14"/>
      <c r="D15" s="14"/>
      <c r="E15" s="16">
        <v>2.198</v>
      </c>
      <c r="F15" s="19">
        <v>1</v>
      </c>
      <c r="G15" s="15">
        <f>IF(A15:A44&lt;&gt;"",ROUND(E15:E44*F15:F44,1),"")</f>
        <v>2.2000000000000002</v>
      </c>
      <c r="H15" s="18" t="s">
        <v>4</v>
      </c>
      <c r="I15" s="17"/>
      <c r="J15" s="14"/>
      <c r="K15" s="14"/>
      <c r="L15" s="14"/>
      <c r="M15" s="16"/>
      <c r="N15" s="19"/>
      <c r="O15" s="15" t="str">
        <f>IF(I15:I44&lt;&gt;"",ROUND(M15:M44*N15:N44,1),"")</f>
        <v/>
      </c>
      <c r="P15" s="18"/>
    </row>
    <row r="16" spans="1:16" s="3" customFormat="1" ht="29.25" customHeight="1" x14ac:dyDescent="0.3">
      <c r="A16" s="17"/>
      <c r="B16" s="14"/>
      <c r="C16" s="14"/>
      <c r="D16" s="14"/>
      <c r="E16" s="16"/>
      <c r="F16" s="19"/>
      <c r="G16" s="15" t="str">
        <f>IF(A16:A45&lt;&gt;"",ROUND(E16:E45*F16:F45,1),"")</f>
        <v/>
      </c>
      <c r="H16" s="18"/>
      <c r="I16" s="17"/>
      <c r="J16" s="14"/>
      <c r="K16" s="14"/>
      <c r="L16" s="14"/>
      <c r="M16" s="16"/>
      <c r="N16" s="19"/>
      <c r="O16" s="15" t="str">
        <f>IF(I16:I45&lt;&gt;"",ROUND(M16:M45*N16:N45,1),"")</f>
        <v/>
      </c>
      <c r="P16" s="18"/>
    </row>
    <row r="17" spans="1:16" s="3" customFormat="1" ht="29.25" customHeight="1" x14ac:dyDescent="0.3">
      <c r="A17" s="17"/>
      <c r="B17" s="14"/>
      <c r="C17" s="14"/>
      <c r="D17" s="14"/>
      <c r="E17" s="16"/>
      <c r="F17" s="19"/>
      <c r="G17" s="15" t="str">
        <f>IF(A17:A46&lt;&gt;"",ROUND(E17:E46*F17:F46,1),"")</f>
        <v/>
      </c>
      <c r="H17" s="18"/>
      <c r="I17" s="17"/>
      <c r="J17" s="14"/>
      <c r="K17" s="14"/>
      <c r="L17" s="14"/>
      <c r="M17" s="16"/>
      <c r="N17" s="19"/>
      <c r="O17" s="15" t="str">
        <f>IF(I17:I46&lt;&gt;"",ROUND(M17:M46*N17:N46,1),"")</f>
        <v/>
      </c>
      <c r="P17" s="18"/>
    </row>
    <row r="18" spans="1:16" s="3" customFormat="1" ht="29.25" customHeight="1" x14ac:dyDescent="0.3">
      <c r="A18" s="17"/>
      <c r="B18" s="14"/>
      <c r="C18" s="14"/>
      <c r="D18" s="14"/>
      <c r="E18" s="16"/>
      <c r="F18" s="19"/>
      <c r="G18" s="15" t="str">
        <f>IF(A18:A47&lt;&gt;"",ROUND(E18:E47*F18:F47,1),"")</f>
        <v/>
      </c>
      <c r="H18" s="18"/>
      <c r="I18" s="17"/>
      <c r="J18" s="14"/>
      <c r="K18" s="14"/>
      <c r="L18" s="14"/>
      <c r="M18" s="16"/>
      <c r="N18" s="19"/>
      <c r="O18" s="15" t="str">
        <f>IF(I18:I47&lt;&gt;"",ROUND(M18:M47*N18:N47,1),"")</f>
        <v/>
      </c>
      <c r="P18" s="18"/>
    </row>
    <row r="19" spans="1:16" s="3" customFormat="1" ht="29.25" customHeight="1" x14ac:dyDescent="0.3">
      <c r="A19" s="17"/>
      <c r="B19" s="14"/>
      <c r="C19" s="14"/>
      <c r="D19" s="14"/>
      <c r="E19" s="16"/>
      <c r="F19" s="19"/>
      <c r="G19" s="15" t="str">
        <f>IF(A19:A48&lt;&gt;"",ROUND(E19:E48*F19:F48,1),"")</f>
        <v/>
      </c>
      <c r="H19" s="18"/>
      <c r="I19" s="17"/>
      <c r="J19" s="14"/>
      <c r="K19" s="14"/>
      <c r="L19" s="14"/>
      <c r="M19" s="16"/>
      <c r="N19" s="19"/>
      <c r="O19" s="15" t="str">
        <f>IF(I19:I48&lt;&gt;"",ROUND(M19:M48*N19:N48,1),"")</f>
        <v/>
      </c>
      <c r="P19" s="18"/>
    </row>
    <row r="20" spans="1:16" s="3" customFormat="1" ht="29.25" customHeight="1" x14ac:dyDescent="0.3">
      <c r="A20" s="17"/>
      <c r="B20" s="14"/>
      <c r="C20" s="14"/>
      <c r="D20" s="14"/>
      <c r="E20" s="16"/>
      <c r="F20" s="19"/>
      <c r="G20" s="15" t="str">
        <f>IF(A20:A49&lt;&gt;"",ROUND(E20:E49*F20:F49,1),"")</f>
        <v/>
      </c>
      <c r="H20" s="18"/>
      <c r="I20" s="17"/>
      <c r="J20" s="14"/>
      <c r="K20" s="14"/>
      <c r="L20" s="14"/>
      <c r="M20" s="16"/>
      <c r="N20" s="19"/>
      <c r="O20" s="15" t="str">
        <f>IF(I20:I49&lt;&gt;"",ROUND(M20:M49*N20:N49,1),"")</f>
        <v/>
      </c>
      <c r="P20" s="18"/>
    </row>
    <row r="21" spans="1:16" s="3" customFormat="1" ht="29.25" customHeight="1" x14ac:dyDescent="0.3">
      <c r="A21" s="17"/>
      <c r="B21" s="14"/>
      <c r="C21" s="14"/>
      <c r="D21" s="14"/>
      <c r="E21" s="16"/>
      <c r="F21" s="19"/>
      <c r="G21" s="15" t="str">
        <f>IF(A21:A50&lt;&gt;"",ROUND(E21:E50*F21:F50,1),"")</f>
        <v/>
      </c>
      <c r="H21" s="18"/>
      <c r="I21" s="17"/>
      <c r="J21" s="14"/>
      <c r="K21" s="14"/>
      <c r="L21" s="14"/>
      <c r="M21" s="16"/>
      <c r="N21" s="19"/>
      <c r="O21" s="15" t="str">
        <f>IF(I21:I50&lt;&gt;"",ROUND(M21:M50*N21:N50,1),"")</f>
        <v/>
      </c>
      <c r="P21" s="18"/>
    </row>
    <row r="22" spans="1:16" s="3" customFormat="1" ht="29.25" customHeight="1" x14ac:dyDescent="0.3">
      <c r="A22" s="17"/>
      <c r="B22" s="14"/>
      <c r="C22" s="14"/>
      <c r="D22" s="14"/>
      <c r="E22" s="16"/>
      <c r="F22" s="19"/>
      <c r="G22" s="15" t="str">
        <f>IF(A22:A51&lt;&gt;"",ROUND(E22:E51*F22:F51,1),"")</f>
        <v/>
      </c>
      <c r="H22" s="18"/>
      <c r="I22" s="17"/>
      <c r="J22" s="14"/>
      <c r="K22" s="14"/>
      <c r="L22" s="14"/>
      <c r="M22" s="16"/>
      <c r="N22" s="19"/>
      <c r="O22" s="15" t="str">
        <f>IF(I22:I51&lt;&gt;"",ROUND(M22:M51*N22:N51,1),"")</f>
        <v/>
      </c>
      <c r="P22" s="18"/>
    </row>
    <row r="23" spans="1:16" s="3" customFormat="1" ht="29.25" customHeight="1" x14ac:dyDescent="0.3">
      <c r="A23" s="17"/>
      <c r="B23" s="14"/>
      <c r="C23" s="14"/>
      <c r="D23" s="14"/>
      <c r="E23" s="16"/>
      <c r="F23" s="19"/>
      <c r="G23" s="15" t="str">
        <f>IF(A23:A52&lt;&gt;"",ROUND(E23:E52*F23:F52,1),"")</f>
        <v/>
      </c>
      <c r="H23" s="18"/>
      <c r="I23" s="17"/>
      <c r="J23" s="14"/>
      <c r="K23" s="14"/>
      <c r="L23" s="14"/>
      <c r="M23" s="16"/>
      <c r="N23" s="19"/>
      <c r="O23" s="15" t="str">
        <f>IF(I23:I52&lt;&gt;"",ROUND(M23:M52*N23:N52,1),"")</f>
        <v/>
      </c>
      <c r="P23" s="18"/>
    </row>
    <row r="24" spans="1:16" s="3" customFormat="1" ht="29.25" customHeight="1" x14ac:dyDescent="0.3">
      <c r="A24" s="17"/>
      <c r="B24" s="14"/>
      <c r="C24" s="14"/>
      <c r="D24" s="14"/>
      <c r="E24" s="16"/>
      <c r="F24" s="19"/>
      <c r="G24" s="15" t="str">
        <f>IF(A24:A53&lt;&gt;"",ROUND(E24:E53*F24:F53,1),"")</f>
        <v/>
      </c>
      <c r="H24" s="18"/>
      <c r="I24" s="17"/>
      <c r="J24" s="14"/>
      <c r="K24" s="14"/>
      <c r="L24" s="14"/>
      <c r="M24" s="16"/>
      <c r="N24" s="19"/>
      <c r="O24" s="15" t="str">
        <f>IF(I24:I53&lt;&gt;"",ROUND(M24:M53*N24:N53,1),"")</f>
        <v/>
      </c>
      <c r="P24" s="18"/>
    </row>
    <row r="25" spans="1:16" s="3" customFormat="1" ht="29.25" customHeight="1" x14ac:dyDescent="0.3">
      <c r="A25" s="17"/>
      <c r="B25" s="14"/>
      <c r="C25" s="14"/>
      <c r="D25" s="14"/>
      <c r="E25" s="16"/>
      <c r="F25" s="19"/>
      <c r="G25" s="15" t="str">
        <f>IF(A25:A54&lt;&gt;"",ROUND(E25:E54*F25:F54,1),"")</f>
        <v/>
      </c>
      <c r="H25" s="18"/>
      <c r="I25" s="17"/>
      <c r="J25" s="14"/>
      <c r="K25" s="14"/>
      <c r="L25" s="14"/>
      <c r="M25" s="16"/>
      <c r="N25" s="19"/>
      <c r="O25" s="15" t="str">
        <f>IF(I25:I54&lt;&gt;"",ROUND(M25:M54*N25:N54,1),"")</f>
        <v/>
      </c>
      <c r="P25" s="18"/>
    </row>
    <row r="26" spans="1:16" s="3" customFormat="1" ht="29.25" customHeight="1" x14ac:dyDescent="0.3">
      <c r="A26" s="17"/>
      <c r="B26" s="14"/>
      <c r="C26" s="14"/>
      <c r="D26" s="14"/>
      <c r="E26" s="16"/>
      <c r="F26" s="19"/>
      <c r="G26" s="15" t="str">
        <f>IF(A26:A55&lt;&gt;"",ROUND(E26:E55*F26:F55,1),"")</f>
        <v/>
      </c>
      <c r="H26" s="18"/>
      <c r="I26" s="17"/>
      <c r="J26" s="14"/>
      <c r="K26" s="14"/>
      <c r="L26" s="14"/>
      <c r="M26" s="16"/>
      <c r="N26" s="19"/>
      <c r="O26" s="15" t="str">
        <f>IF(I26:I55&lt;&gt;"",ROUND(M26:M55*N26:N55,1),"")</f>
        <v/>
      </c>
      <c r="P26" s="18"/>
    </row>
    <row r="27" spans="1:16" s="3" customFormat="1" ht="29.25" customHeight="1" x14ac:dyDescent="0.3">
      <c r="A27" s="17"/>
      <c r="B27" s="14"/>
      <c r="C27" s="14"/>
      <c r="D27" s="14"/>
      <c r="E27" s="16"/>
      <c r="F27" s="19"/>
      <c r="G27" s="15" t="str">
        <f>IF(A27:A56&lt;&gt;"",ROUND(E27:E56*F27:F56,1),"")</f>
        <v/>
      </c>
      <c r="H27" s="18"/>
      <c r="I27" s="17"/>
      <c r="J27" s="14"/>
      <c r="K27" s="14"/>
      <c r="L27" s="14"/>
      <c r="M27" s="16"/>
      <c r="N27" s="19"/>
      <c r="O27" s="15" t="str">
        <f>IF(I27:I56&lt;&gt;"",ROUND(M27:M56*N27:N56,1),"")</f>
        <v/>
      </c>
      <c r="P27" s="18"/>
    </row>
    <row r="28" spans="1:16" s="3" customFormat="1" ht="29.25" customHeight="1" x14ac:dyDescent="0.3">
      <c r="A28" s="17"/>
      <c r="B28" s="14"/>
      <c r="C28" s="14"/>
      <c r="D28" s="14"/>
      <c r="E28" s="16"/>
      <c r="F28" s="19"/>
      <c r="G28" s="15" t="str">
        <f>IF(A28:A57&lt;&gt;"",ROUND(E28:E57*F28:F57,1),"")</f>
        <v/>
      </c>
      <c r="H28" s="18"/>
      <c r="I28" s="17"/>
      <c r="J28" s="14"/>
      <c r="K28" s="14"/>
      <c r="L28" s="14"/>
      <c r="M28" s="16"/>
      <c r="N28" s="19"/>
      <c r="O28" s="15" t="str">
        <f>IF(I28:I57&lt;&gt;"",ROUND(M28:M57*N28:N57,1),"")</f>
        <v/>
      </c>
      <c r="P28" s="18"/>
    </row>
    <row r="29" spans="1:16" s="3" customFormat="1" ht="29.25" customHeight="1" x14ac:dyDescent="0.3">
      <c r="A29" s="17"/>
      <c r="B29" s="14"/>
      <c r="C29" s="14"/>
      <c r="D29" s="14"/>
      <c r="E29" s="16"/>
      <c r="F29" s="19"/>
      <c r="G29" s="15" t="str">
        <f>IF(A29:A58&lt;&gt;"",ROUND(E29:E58*F29:F58,1),"")</f>
        <v/>
      </c>
      <c r="H29" s="18"/>
      <c r="I29" s="17"/>
      <c r="J29" s="14"/>
      <c r="K29" s="14"/>
      <c r="L29" s="14"/>
      <c r="M29" s="16"/>
      <c r="N29" s="19"/>
      <c r="O29" s="15" t="str">
        <f>IF(I29:I58&lt;&gt;"",ROUND(M29:M58*N29:N58,1),"")</f>
        <v/>
      </c>
      <c r="P29" s="18"/>
    </row>
    <row r="30" spans="1:16" s="3" customFormat="1" ht="29.25" customHeight="1" x14ac:dyDescent="0.3">
      <c r="A30" s="17"/>
      <c r="B30" s="14"/>
      <c r="C30" s="14"/>
      <c r="D30" s="14"/>
      <c r="E30" s="16"/>
      <c r="F30" s="19"/>
      <c r="G30" s="15" t="str">
        <f>IF(A30:A59&lt;&gt;"",ROUND(E30:E59*F30:F59,1),"")</f>
        <v/>
      </c>
      <c r="H30" s="18"/>
      <c r="I30" s="17"/>
      <c r="J30" s="14"/>
      <c r="K30" s="14"/>
      <c r="L30" s="14"/>
      <c r="M30" s="16"/>
      <c r="N30" s="14"/>
      <c r="O30" s="15" t="str">
        <f>IF(I30:I59&lt;&gt;"",ROUND(M30:M59*N30:N59,1),"")</f>
        <v/>
      </c>
      <c r="P30" s="14"/>
    </row>
    <row r="31" spans="1:16" s="3" customFormat="1" ht="29.25" customHeight="1" x14ac:dyDescent="0.3">
      <c r="A31" s="17"/>
      <c r="B31" s="14"/>
      <c r="C31" s="14"/>
      <c r="D31" s="14"/>
      <c r="E31" s="16"/>
      <c r="F31" s="19"/>
      <c r="G31" s="15" t="str">
        <f>IF(A31:A60&lt;&gt;"",ROUND(E31:E60*F31:F60,1),"")</f>
        <v/>
      </c>
      <c r="H31" s="18"/>
      <c r="I31" s="17"/>
      <c r="J31" s="14"/>
      <c r="K31" s="14"/>
      <c r="L31" s="14"/>
      <c r="M31" s="16"/>
      <c r="N31" s="14"/>
      <c r="O31" s="15" t="str">
        <f>IF(I31:I60&lt;&gt;"",ROUND(M31:M60*N31:N60,1),"")</f>
        <v/>
      </c>
      <c r="P31" s="14"/>
    </row>
    <row r="32" spans="1:16" s="3" customFormat="1" ht="29.25" customHeight="1" x14ac:dyDescent="0.3">
      <c r="A32" s="17"/>
      <c r="B32" s="14"/>
      <c r="C32" s="14"/>
      <c r="D32" s="14"/>
      <c r="E32" s="16"/>
      <c r="F32" s="19"/>
      <c r="G32" s="15" t="str">
        <f>IF(A32:A61&lt;&gt;"",ROUND(E32:E61*F32:F61,1),"")</f>
        <v/>
      </c>
      <c r="H32" s="18"/>
      <c r="I32" s="17"/>
      <c r="J32" s="14"/>
      <c r="K32" s="14"/>
      <c r="L32" s="14"/>
      <c r="M32" s="16"/>
      <c r="N32" s="14"/>
      <c r="O32" s="15" t="str">
        <f>IF(I32:I61&lt;&gt;"",ROUND(M32:M61*N32:N61,1),"")</f>
        <v/>
      </c>
      <c r="P32" s="14"/>
    </row>
    <row r="33" spans="1:16" s="3" customFormat="1" ht="29.25" customHeight="1" x14ac:dyDescent="0.3">
      <c r="A33" s="17"/>
      <c r="B33" s="14"/>
      <c r="C33" s="14"/>
      <c r="D33" s="14"/>
      <c r="E33" s="16"/>
      <c r="F33" s="19"/>
      <c r="G33" s="15" t="str">
        <f>IF(A33:A62&lt;&gt;"",ROUND(E33:E62*F33:F62,1),"")</f>
        <v/>
      </c>
      <c r="H33" s="18"/>
      <c r="I33" s="17"/>
      <c r="J33" s="14"/>
      <c r="K33" s="14"/>
      <c r="L33" s="14"/>
      <c r="M33" s="16"/>
      <c r="N33" s="14"/>
      <c r="O33" s="15" t="str">
        <f>IF(I33:I62&lt;&gt;"",ROUND(M33:M62*N33:N62,1),"")</f>
        <v/>
      </c>
      <c r="P33" s="14"/>
    </row>
    <row r="34" spans="1:16" s="3" customFormat="1" ht="29.25" customHeight="1" x14ac:dyDescent="0.3">
      <c r="A34" s="17"/>
      <c r="B34" s="14"/>
      <c r="C34" s="14"/>
      <c r="D34" s="14"/>
      <c r="E34" s="16"/>
      <c r="F34" s="19"/>
      <c r="G34" s="15" t="str">
        <f>IF(A34:A63&lt;&gt;"",ROUND(E34:E63*F34:F63,1),"")</f>
        <v/>
      </c>
      <c r="H34" s="18"/>
      <c r="I34" s="17"/>
      <c r="J34" s="14"/>
      <c r="K34" s="14"/>
      <c r="L34" s="14"/>
      <c r="M34" s="16"/>
      <c r="N34" s="14"/>
      <c r="O34" s="15" t="str">
        <f>IF(I34:I63&lt;&gt;"",ROUND(M34:M63*N34:N63,1),"")</f>
        <v/>
      </c>
      <c r="P34" s="14"/>
    </row>
    <row r="35" spans="1:16" s="3" customFormat="1" ht="29.25" customHeight="1" x14ac:dyDescent="0.3">
      <c r="A35" s="17"/>
      <c r="B35" s="14"/>
      <c r="C35" s="14"/>
      <c r="D35" s="14"/>
      <c r="E35" s="16"/>
      <c r="F35" s="19"/>
      <c r="G35" s="15" t="str">
        <f>IF(A35:A64&lt;&gt;"",ROUND(E35:E64*F35:F64,1),"")</f>
        <v/>
      </c>
      <c r="H35" s="18"/>
      <c r="I35" s="17"/>
      <c r="J35" s="14"/>
      <c r="K35" s="14"/>
      <c r="L35" s="14"/>
      <c r="M35" s="16"/>
      <c r="N35" s="14"/>
      <c r="O35" s="15" t="str">
        <f>IF(I35:I64&lt;&gt;"",ROUND(M35:M64*N35:N64,1),"")</f>
        <v/>
      </c>
      <c r="P35" s="14"/>
    </row>
    <row r="36" spans="1:16" s="3" customFormat="1" ht="29.25" customHeight="1" x14ac:dyDescent="0.3">
      <c r="A36" s="17"/>
      <c r="B36" s="14"/>
      <c r="C36" s="14"/>
      <c r="D36" s="14"/>
      <c r="E36" s="16"/>
      <c r="F36" s="19"/>
      <c r="G36" s="15" t="str">
        <f>IF(A36:A65&lt;&gt;"",ROUND(E36:E65*F36:F65,1),"")</f>
        <v/>
      </c>
      <c r="H36" s="18"/>
      <c r="I36" s="17"/>
      <c r="J36" s="14"/>
      <c r="K36" s="14"/>
      <c r="L36" s="14"/>
      <c r="M36" s="16"/>
      <c r="N36" s="14"/>
      <c r="O36" s="15" t="str">
        <f>IF(I36:I65&lt;&gt;"",ROUND(M36:M65*N36:N65,1),"")</f>
        <v/>
      </c>
      <c r="P36" s="14"/>
    </row>
    <row r="37" spans="1:16" s="3" customFormat="1" ht="29.25" customHeight="1" thickBot="1" x14ac:dyDescent="0.35">
      <c r="A37" s="11"/>
      <c r="B37" s="8"/>
      <c r="C37" s="8"/>
      <c r="D37" s="8"/>
      <c r="E37" s="10"/>
      <c r="F37" s="13"/>
      <c r="G37" s="9" t="str">
        <f>IF(A37:A66&lt;&gt;"",ROUND(E37:E66*F37:F66,1),"")</f>
        <v/>
      </c>
      <c r="H37" s="12"/>
      <c r="I37" s="11"/>
      <c r="J37" s="8"/>
      <c r="K37" s="8"/>
      <c r="L37" s="8"/>
      <c r="M37" s="10"/>
      <c r="N37" s="8"/>
      <c r="O37" s="9" t="str">
        <f>IF(I37:I66&lt;&gt;"",ROUND(M37:M66*N37:N66,1),"")</f>
        <v/>
      </c>
      <c r="P37" s="8"/>
    </row>
    <row r="38" spans="1:16" s="3" customFormat="1" ht="30" customHeight="1" thickTop="1" x14ac:dyDescent="0.4">
      <c r="A38" s="7"/>
      <c r="B38" s="6"/>
      <c r="C38" s="4"/>
      <c r="D38" s="4"/>
      <c r="E38" s="5" t="s">
        <v>3</v>
      </c>
      <c r="F38" s="5"/>
      <c r="G38" s="4" t="s">
        <v>2</v>
      </c>
      <c r="H38" s="4"/>
      <c r="I38" s="4"/>
      <c r="J38" s="4"/>
      <c r="K38" s="4"/>
      <c r="L38" s="4"/>
      <c r="M38" s="4" t="s">
        <v>3</v>
      </c>
      <c r="N38" s="4"/>
      <c r="O38" s="4" t="s">
        <v>2</v>
      </c>
      <c r="P38" s="4"/>
    </row>
    <row r="39" spans="1:16" s="3" customFormat="1" ht="30" customHeight="1" x14ac:dyDescent="0.3">
      <c r="C39" s="2"/>
      <c r="D39" s="2"/>
      <c r="E39" s="2" t="s">
        <v>1</v>
      </c>
      <c r="F39" s="2"/>
      <c r="G39" s="2" t="s">
        <v>0</v>
      </c>
      <c r="H39" s="2"/>
      <c r="I39" s="2"/>
      <c r="J39" s="2"/>
      <c r="K39" s="2"/>
      <c r="L39" s="2"/>
      <c r="M39" s="2" t="s">
        <v>1</v>
      </c>
      <c r="N39" s="2"/>
      <c r="O39" s="2" t="s">
        <v>0</v>
      </c>
      <c r="P39" s="2"/>
    </row>
    <row r="41" spans="1:16" ht="24.75" customHeight="1" x14ac:dyDescent="0.3">
      <c r="E41" s="2"/>
      <c r="F41" s="2"/>
    </row>
  </sheetData>
  <mergeCells count="21">
    <mergeCell ref="I39:J39"/>
    <mergeCell ref="B1:C1"/>
    <mergeCell ref="J1:K1"/>
    <mergeCell ref="B4:G4"/>
    <mergeCell ref="J4:O4"/>
    <mergeCell ref="O39:P39"/>
    <mergeCell ref="C38:D38"/>
    <mergeCell ref="E38:F38"/>
    <mergeCell ref="G38:H38"/>
    <mergeCell ref="K38:L38"/>
    <mergeCell ref="M38:N38"/>
    <mergeCell ref="C39:D39"/>
    <mergeCell ref="E39:F39"/>
    <mergeCell ref="G39:H39"/>
    <mergeCell ref="G6:H6"/>
    <mergeCell ref="E41:F41"/>
    <mergeCell ref="O6:P6"/>
    <mergeCell ref="K39:L39"/>
    <mergeCell ref="M39:N39"/>
    <mergeCell ref="O38:P38"/>
    <mergeCell ref="I38:J38"/>
  </mergeCells>
  <phoneticPr fontId="3" type="noConversion"/>
  <pageMargins left="0.6875" right="0.70866141732283472" top="1.7322834645669292" bottom="0.91666666666666663" header="0.78740157480314965" footer="0.59055118110236227"/>
  <pageSetup paperSize="9" scale="54" orientation="portrait" r:id="rId1"/>
  <headerFooter>
    <oddHeader>&amp;L&amp;G&amp;C&amp;"KBIZ한마음고딕 B,굵게"&amp;48&amp;K00-046총 유기탄소 시험기록부</oddHeader>
    <oddFooter>&amp;C&amp;"KBIZ한마음고딕 B,굵게"&amp;48&amp;K00-048리뉴어스주식회사-수질분석센터</oddFooter>
  </headerFooter>
  <colBreaks count="1" manualBreakCount="1">
    <brk id="8" max="38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Spinner 1">
              <controlPr defaultSize="0" print="0" autoPict="0" macro="[0]!쪼회">
                <anchor moveWithCells="1" sizeWithCells="1">
                  <from>
                    <xdr:col>8</xdr:col>
                    <xdr:colOff>571500</xdr:colOff>
                    <xdr:row>2</xdr:row>
                    <xdr:rowOff>200025</xdr:rowOff>
                  </from>
                  <to>
                    <xdr:col>8</xdr:col>
                    <xdr:colOff>952500</xdr:colOff>
                    <xdr:row>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TOC(NPOC)</vt:lpstr>
      <vt:lpstr>'TOC(NPOC)'!Print_Area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2026-04-15T07:18:04Z</dcterms:created>
  <dcterms:modified xsi:type="dcterms:W3CDTF">2026-04-15T07:18:39Z</dcterms:modified>
</cp:coreProperties>
</file>