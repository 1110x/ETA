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30F2D0F4-1631-44B8-B605-4766DF08687C}" xr6:coauthVersionLast="47" xr6:coauthVersionMax="47" xr10:uidLastSave="{00000000-0000-0000-0000-000000000000}"/>
  <bookViews>
    <workbookView xWindow="-120" yWindow="-120" windowWidth="38640" windowHeight="21120" xr2:uid="{4224D260-77E8-43AB-AF3D-8E7D8E31D09A}"/>
  </bookViews>
  <sheets>
    <sheet name="BOD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BOD!$A$1:$H$39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BOD!$A$1:$P$40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1" l="1"/>
  <c r="X40" i="1"/>
  <c r="Y39" i="1"/>
  <c r="X39" i="1"/>
  <c r="X38" i="1"/>
  <c r="Y37" i="1"/>
  <c r="X37" i="1"/>
  <c r="O37" i="1"/>
  <c r="N37" i="1"/>
  <c r="M37" i="1"/>
  <c r="F37" i="1"/>
  <c r="G37" i="1" s="1"/>
  <c r="E37" i="1"/>
  <c r="Y36" i="1"/>
  <c r="X36" i="1"/>
  <c r="O36" i="1"/>
  <c r="N36" i="1"/>
  <c r="M36" i="1"/>
  <c r="F36" i="1"/>
  <c r="G36" i="1" s="1"/>
  <c r="E36" i="1"/>
  <c r="Y35" i="1"/>
  <c r="X35" i="1"/>
  <c r="O35" i="1"/>
  <c r="N35" i="1"/>
  <c r="M35" i="1"/>
  <c r="F35" i="1"/>
  <c r="G35" i="1" s="1"/>
  <c r="E35" i="1"/>
  <c r="Y34" i="1"/>
  <c r="X34" i="1"/>
  <c r="O34" i="1"/>
  <c r="N34" i="1"/>
  <c r="M34" i="1"/>
  <c r="F34" i="1"/>
  <c r="G34" i="1" s="1"/>
  <c r="E34" i="1"/>
  <c r="Y33" i="1"/>
  <c r="X33" i="1"/>
  <c r="O33" i="1"/>
  <c r="N33" i="1"/>
  <c r="M33" i="1"/>
  <c r="F33" i="1"/>
  <c r="G33" i="1" s="1"/>
  <c r="E33" i="1"/>
  <c r="Y32" i="1"/>
  <c r="X32" i="1"/>
  <c r="O32" i="1"/>
  <c r="N32" i="1"/>
  <c r="M32" i="1"/>
  <c r="F32" i="1"/>
  <c r="G32" i="1" s="1"/>
  <c r="E32" i="1"/>
  <c r="Y31" i="1"/>
  <c r="X31" i="1"/>
  <c r="O31" i="1"/>
  <c r="N31" i="1"/>
  <c r="M31" i="1"/>
  <c r="F31" i="1"/>
  <c r="G31" i="1" s="1"/>
  <c r="E31" i="1"/>
  <c r="Y30" i="1"/>
  <c r="X30" i="1"/>
  <c r="O30" i="1"/>
  <c r="N30" i="1"/>
  <c r="M30" i="1"/>
  <c r="F30" i="1"/>
  <c r="G30" i="1" s="1"/>
  <c r="E30" i="1"/>
  <c r="Y29" i="1"/>
  <c r="X29" i="1"/>
  <c r="O29" i="1"/>
  <c r="N29" i="1"/>
  <c r="M29" i="1"/>
  <c r="F29" i="1"/>
  <c r="G29" i="1" s="1"/>
  <c r="E29" i="1"/>
  <c r="Y28" i="1"/>
  <c r="X28" i="1"/>
  <c r="O28" i="1"/>
  <c r="N28" i="1"/>
  <c r="M28" i="1"/>
  <c r="F28" i="1"/>
  <c r="G28" i="1" s="1"/>
  <c r="E28" i="1"/>
  <c r="Y27" i="1"/>
  <c r="X27" i="1"/>
  <c r="O27" i="1"/>
  <c r="N27" i="1"/>
  <c r="M27" i="1"/>
  <c r="F27" i="1"/>
  <c r="G27" i="1" s="1"/>
  <c r="E27" i="1"/>
  <c r="Y26" i="1"/>
  <c r="X26" i="1"/>
  <c r="O26" i="1"/>
  <c r="N26" i="1"/>
  <c r="M26" i="1"/>
  <c r="F26" i="1"/>
  <c r="G26" i="1" s="1"/>
  <c r="E26" i="1"/>
  <c r="Y25" i="1"/>
  <c r="X25" i="1"/>
  <c r="O25" i="1"/>
  <c r="N25" i="1"/>
  <c r="M25" i="1"/>
  <c r="F25" i="1"/>
  <c r="G25" i="1" s="1"/>
  <c r="E25" i="1"/>
  <c r="Y24" i="1"/>
  <c r="X24" i="1"/>
  <c r="O24" i="1"/>
  <c r="N24" i="1"/>
  <c r="M24" i="1"/>
  <c r="F24" i="1"/>
  <c r="G24" i="1" s="1"/>
  <c r="E24" i="1"/>
  <c r="Y23" i="1"/>
  <c r="X23" i="1"/>
  <c r="O23" i="1"/>
  <c r="N23" i="1"/>
  <c r="M23" i="1"/>
  <c r="F23" i="1"/>
  <c r="G23" i="1" s="1"/>
  <c r="E23" i="1"/>
  <c r="Y22" i="1"/>
  <c r="X22" i="1"/>
  <c r="O22" i="1"/>
  <c r="N22" i="1"/>
  <c r="M22" i="1"/>
  <c r="F22" i="1"/>
  <c r="G22" i="1" s="1"/>
  <c r="E22" i="1"/>
  <c r="Y21" i="1"/>
  <c r="X21" i="1"/>
  <c r="O21" i="1"/>
  <c r="N21" i="1"/>
  <c r="M21" i="1"/>
  <c r="F21" i="1"/>
  <c r="G21" i="1" s="1"/>
  <c r="E21" i="1"/>
  <c r="Y20" i="1"/>
  <c r="X20" i="1"/>
  <c r="O20" i="1"/>
  <c r="N20" i="1"/>
  <c r="M20" i="1"/>
  <c r="F20" i="1"/>
  <c r="Y19" i="1"/>
  <c r="X19" i="1"/>
  <c r="O19" i="1"/>
  <c r="N19" i="1"/>
  <c r="M19" i="1"/>
  <c r="F19" i="1"/>
  <c r="X18" i="1"/>
  <c r="N18" i="1"/>
  <c r="O18" i="1" s="1"/>
  <c r="M18" i="1"/>
  <c r="F18" i="1"/>
  <c r="X17" i="1"/>
  <c r="N17" i="1"/>
  <c r="M17" i="1"/>
  <c r="O17" i="1" s="1"/>
  <c r="F17" i="1"/>
  <c r="Y16" i="1"/>
  <c r="X16" i="1"/>
  <c r="N16" i="1"/>
  <c r="M16" i="1"/>
  <c r="O16" i="1" s="1"/>
  <c r="F16" i="1"/>
  <c r="Y15" i="1"/>
  <c r="X15" i="1"/>
  <c r="N15" i="1"/>
  <c r="M15" i="1"/>
  <c r="O15" i="1" s="1"/>
  <c r="F15" i="1"/>
  <c r="Y14" i="1"/>
  <c r="X14" i="1"/>
  <c r="N14" i="1"/>
  <c r="M14" i="1"/>
  <c r="O14" i="1" s="1"/>
  <c r="F14" i="1"/>
  <c r="Y13" i="1"/>
  <c r="X13" i="1"/>
  <c r="N13" i="1"/>
  <c r="M13" i="1"/>
  <c r="O13" i="1" s="1"/>
  <c r="F13" i="1"/>
  <c r="Y12" i="1"/>
  <c r="X12" i="1"/>
  <c r="N12" i="1"/>
  <c r="M12" i="1"/>
  <c r="O12" i="1" s="1"/>
  <c r="F12" i="1"/>
  <c r="Y11" i="1"/>
  <c r="X11" i="1"/>
  <c r="N11" i="1"/>
  <c r="M11" i="1"/>
  <c r="O11" i="1" s="1"/>
  <c r="F11" i="1"/>
  <c r="Y10" i="1"/>
  <c r="X10" i="1"/>
  <c r="N10" i="1"/>
  <c r="M10" i="1"/>
  <c r="O10" i="1" s="1"/>
  <c r="F10" i="1"/>
  <c r="Y9" i="1"/>
  <c r="X9" i="1"/>
  <c r="N9" i="1"/>
  <c r="M9" i="1"/>
  <c r="O9" i="1" s="1"/>
  <c r="F9" i="1"/>
  <c r="Y8" i="1"/>
  <c r="X8" i="1"/>
  <c r="N8" i="1"/>
  <c r="M8" i="1"/>
  <c r="O8" i="1" s="1"/>
  <c r="F8" i="1"/>
  <c r="O7" i="1"/>
  <c r="G7" i="1"/>
  <c r="P6" i="1"/>
  <c r="H6" i="1"/>
  <c r="E20" i="1" s="1"/>
  <c r="G20" i="1" s="1"/>
  <c r="J1" i="1"/>
  <c r="E18" i="1" l="1"/>
  <c r="G18" i="1" s="1"/>
  <c r="O6" i="1"/>
  <c r="E17" i="1"/>
  <c r="G1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G6" i="1"/>
  <c r="E19" i="1"/>
  <c r="G19" i="1" s="1"/>
</calcChain>
</file>

<file path=xl/sharedStrings.xml><?xml version="1.0" encoding="utf-8"?>
<sst xmlns="http://schemas.openxmlformats.org/spreadsheetml/2006/main" count="89" uniqueCount="64">
  <si>
    <t>▧ 문서번호</t>
    <phoneticPr fontId="3" type="noConversion"/>
  </si>
  <si>
    <t>▧ 분석방법</t>
  </si>
  <si>
    <t>ES 04305.1c 생물화학적 산소요구량</t>
    <phoneticPr fontId="3" type="noConversion"/>
  </si>
  <si>
    <t>▧ 결과표시</t>
  </si>
  <si>
    <t xml:space="preserve">생물화학적산소 요구량(㎎/L) =  [ ( D1-D2 )-( B1-B2 ) ˟  F ] ˟ P  </t>
    <phoneticPr fontId="3" type="noConversion"/>
  </si>
  <si>
    <t xml:space="preserve">   생물학적산소 요구량(㎎/L) =  [ ( D1-D2 )-( B1-B2 ) ˟  F ] ˟ P  </t>
    <phoneticPr fontId="3" type="noConversion"/>
  </si>
  <si>
    <t>▧ 관련근거</t>
  </si>
  <si>
    <t>1. 공공폐수처리시설 설치 및 운영관리지침(8차개정) "공공폐수처리시설의 수질검사" 항</t>
  </si>
  <si>
    <t>시료명</t>
    <phoneticPr fontId="3" type="noConversion"/>
  </si>
  <si>
    <t>시료량(V, mL)</t>
    <phoneticPr fontId="3" type="noConversion"/>
  </si>
  <si>
    <t>D1 (B1)
초기 DO농도</t>
    <phoneticPr fontId="3" type="noConversion"/>
  </si>
  <si>
    <t>D2 (B2)
5일후 DO농도</t>
    <phoneticPr fontId="3" type="noConversion"/>
  </si>
  <si>
    <t>f(x/y)
식종액 함유율</t>
    <phoneticPr fontId="3" type="noConversion"/>
  </si>
  <si>
    <t>P
희석배수</t>
  </si>
  <si>
    <t>Result(㎎/L)</t>
  </si>
  <si>
    <t>Remark</t>
  </si>
  <si>
    <t>시료량(V)</t>
  </si>
  <si>
    <t>식종수의 BOD</t>
    <phoneticPr fontId="3" type="noConversion"/>
  </si>
  <si>
    <t>-</t>
    <phoneticPr fontId="3" type="noConversion"/>
  </si>
  <si>
    <t>SCF(식종희석수)</t>
  </si>
  <si>
    <t>Remark</t>
    <phoneticPr fontId="3" type="noConversion"/>
  </si>
  <si>
    <t>소모율 1page</t>
    <phoneticPr fontId="3" type="noConversion"/>
  </si>
  <si>
    <t>소모율 2page</t>
  </si>
  <si>
    <t>금호피앤비화학㈜</t>
  </si>
  <si>
    <t>02-10-01</t>
  </si>
  <si>
    <t>㈜동성케미컬</t>
  </si>
  <si>
    <t>02-10-02</t>
  </si>
  <si>
    <t>한국바스프㈜</t>
  </si>
  <si>
    <t>02-10-03</t>
  </si>
  <si>
    <t>금호미쓰이화학㈜</t>
  </si>
  <si>
    <t>02-10-04</t>
  </si>
  <si>
    <t>(주)엘지화학</t>
  </si>
  <si>
    <t>02-10-05</t>
  </si>
  <si>
    <t>금호폴리켐(주)여수1공장</t>
  </si>
  <si>
    <t>02-10-06</t>
  </si>
  <si>
    <t>롯데케미칼 주식회사 1공장</t>
  </si>
  <si>
    <t>02-10-07</t>
  </si>
  <si>
    <t>한화솔루션(주)여수[1공장]</t>
  </si>
  <si>
    <t>02-10-08</t>
  </si>
  <si>
    <t>롯데케미칼(주)[첨단소재여수공장]</t>
  </si>
  <si>
    <t>02-10-09</t>
  </si>
  <si>
    <t xml:space="preserve">여천NCC(주)1공장-환경안전팀 </t>
  </si>
  <si>
    <t>02-10-10</t>
  </si>
  <si>
    <t>금호석유화학(주)[1공장]</t>
  </si>
  <si>
    <t>20</t>
  </si>
  <si>
    <t>9</t>
  </si>
  <si>
    <t>4.81</t>
  </si>
  <si>
    <t>02-10-11</t>
  </si>
  <si>
    <t>여천NCC(주)2공장-환경안전팀</t>
  </si>
  <si>
    <t>8.98</t>
  </si>
  <si>
    <t>4.44</t>
  </si>
  <si>
    <t>02-10-12</t>
  </si>
  <si>
    <t>CIS케미칼</t>
  </si>
  <si>
    <t>100</t>
  </si>
  <si>
    <t>8.91</t>
  </si>
  <si>
    <t>4.56</t>
  </si>
  <si>
    <t>[세풍]02-10-01</t>
  </si>
  <si>
    <t>D1 - 분석담당자</t>
  </si>
  <si>
    <t>D2 - 분석담당자</t>
  </si>
  <si>
    <t>기술책임자</t>
    <phoneticPr fontId="3" type="noConversion"/>
  </si>
  <si>
    <t>이재휘</t>
    <phoneticPr fontId="3" type="noConversion"/>
  </si>
  <si>
    <t>김가린</t>
    <phoneticPr fontId="3" type="noConversion"/>
  </si>
  <si>
    <t>이예림</t>
    <phoneticPr fontId="3" type="noConversion"/>
  </si>
  <si>
    <t>박지혜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</si>
</sst>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&quot;BOD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0.0"/>
    <numFmt numFmtId="182" formatCode="&quot;식종수(%)&quot;\ 0.0"/>
    <numFmt numFmtId="183" formatCode="0.#0"/>
    <numFmt numFmtId="184" formatCode="00\-00\-00"/>
    <numFmt numFmtId="185" formatCode="0.0000"/>
    <numFmt numFmtId="186" formatCode="0.0_);[Red]\(0.0\)"/>
    <numFmt numFmtId="187" formatCode="0.00_);[Red]\(0.00\)"/>
    <numFmt numFmtId="188" formatCode="0.0%"/>
    <numFmt numFmtId="189" formatCode="@\ \ \ \ \ \ \ \ &quot;(서명)&quot;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2"/>
      <color rgb="FF000000"/>
      <name val="KBIZ한마음고딕 R"/>
      <family val="1"/>
      <charset val="129"/>
    </font>
    <font>
      <sz val="12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auto="1"/>
      </top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49" fontId="2" fillId="0" borderId="0" xfId="2" applyNumberFormat="1" applyFont="1" applyAlignment="1">
      <alignment horizontal="distributed" vertical="distributed" indent="1"/>
    </xf>
    <xf numFmtId="176" fontId="4" fillId="0" borderId="0" xfId="2" applyNumberFormat="1" applyFont="1" applyAlignment="1">
      <alignment horizontal="left" vertical="center" indent="1"/>
    </xf>
    <xf numFmtId="0" fontId="2" fillId="0" borderId="0" xfId="2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2" applyFont="1"/>
    <xf numFmtId="178" fontId="7" fillId="0" borderId="0" xfId="2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2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80" fontId="2" fillId="0" borderId="0" xfId="2" applyNumberFormat="1" applyFont="1" applyAlignment="1">
      <alignment horizontal="distributed" vertical="distributed" indent="1"/>
    </xf>
    <xf numFmtId="0" fontId="8" fillId="0" borderId="0" xfId="2" applyFont="1" applyAlignment="1">
      <alignment horizontal="left" vertical="center" indent="1"/>
    </xf>
    <xf numFmtId="180" fontId="2" fillId="0" borderId="1" xfId="2" applyNumberFormat="1" applyFont="1" applyBorder="1" applyAlignment="1">
      <alignment horizontal="distributed" vertical="distributed" indent="1"/>
    </xf>
    <xf numFmtId="0" fontId="2" fillId="0" borderId="1" xfId="2" applyFont="1" applyBorder="1" applyAlignment="1">
      <alignment horizontal="left" vertical="center" indent="1"/>
    </xf>
    <xf numFmtId="0" fontId="2" fillId="0" borderId="1" xfId="2" applyFont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2" fontId="2" fillId="2" borderId="3" xfId="3" applyNumberFormat="1" applyFont="1" applyFill="1" applyBorder="1" applyAlignment="1">
      <alignment horizontal="center" vertical="center"/>
    </xf>
    <xf numFmtId="183" fontId="2" fillId="2" borderId="3" xfId="3" applyNumberFormat="1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 wrapText="1"/>
    </xf>
    <xf numFmtId="2" fontId="2" fillId="2" borderId="3" xfId="3" applyNumberFormat="1" applyFont="1" applyFill="1" applyBorder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85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6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88" fontId="2" fillId="0" borderId="4" xfId="1" applyNumberFormat="1" applyFont="1" applyBorder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85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186" fontId="9" fillId="0" borderId="0" xfId="0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14" fontId="9" fillId="0" borderId="0" xfId="0" quotePrefix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5" xfId="4" applyFont="1" applyBorder="1"/>
    <xf numFmtId="0" fontId="2" fillId="0" borderId="5" xfId="4" applyFont="1" applyBorder="1" applyAlignment="1">
      <alignment horizontal="center" vertical="center"/>
    </xf>
    <xf numFmtId="189" fontId="2" fillId="0" borderId="0" xfId="0" applyNumberFormat="1" applyFont="1" applyAlignment="1">
      <alignment horizontal="right" vertical="center" indent="3"/>
    </xf>
    <xf numFmtId="0" fontId="10" fillId="0" borderId="0" xfId="0" applyFont="1">
      <alignment vertical="center"/>
    </xf>
  </cellXfs>
  <cellStyles count="5">
    <cellStyle name="백분율" xfId="1" builtinId="5"/>
    <cellStyle name="표준" xfId="0" builtinId="0"/>
    <cellStyle name="표준 3" xfId="2" xr:uid="{FC5BE6DD-C726-4342-9B62-9A9649D36AF6}"/>
    <cellStyle name="표준 4" xfId="3" xr:uid="{E96A9A1F-17AF-4B0C-9726-A8803861C025}"/>
    <cellStyle name="표준 5" xfId="4" xr:uid="{44AA7060-D469-4506-9FE8-644E2EE7A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3330" min="3" page="10" val="2234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</xdr:row>
      <xdr:rowOff>326572</xdr:rowOff>
    </xdr:from>
    <xdr:to>
      <xdr:col>7</xdr:col>
      <xdr:colOff>1259988</xdr:colOff>
      <xdr:row>3</xdr:row>
      <xdr:rowOff>391179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2A429DC-D4F3-42A8-AF26-A9EA622A80B8}"/>
            </a:ext>
          </a:extLst>
        </xdr:cNvPr>
        <xdr:cNvGrpSpPr/>
      </xdr:nvGrpSpPr>
      <xdr:grpSpPr>
        <a:xfrm>
          <a:off x="8179254" y="1061358"/>
          <a:ext cx="3503805" cy="432000"/>
          <a:chOff x="7743825" y="1061358"/>
          <a:chExt cx="3503806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100-000009040000}"/>
                  </a:ext>
                </a:extLst>
              </xdr:cNvPr>
              <xdr:cNvSpPr/>
            </xdr:nvSpPr>
            <xdr:spPr bwMode="auto">
              <a:xfrm>
                <a:off x="7743825" y="1096736"/>
                <a:ext cx="381000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1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B934BCCE-4BA6-5929-5618-B528CD35A2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25394" y="1109523"/>
            <a:ext cx="375525" cy="335671"/>
          </a:xfrm>
          <a:prstGeom prst="rect">
            <a:avLst/>
          </a:prstGeom>
        </xdr:spPr>
      </xdr:pic>
      <xdr:pic macro="[1]!GoDATA">
        <xdr:nvPicPr>
          <xdr:cNvPr id="4" name="그림 3">
            <a:extLst>
              <a:ext uri="{FF2B5EF4-FFF2-40B4-BE49-F238E27FC236}">
                <a16:creationId xmlns:a16="http://schemas.microsoft.com/office/drawing/2014/main" id="{72433A3E-F2F5-C87B-ED3E-2584B93437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187347" y="1095384"/>
            <a:ext cx="375525" cy="363948"/>
          </a:xfrm>
          <a:prstGeom prst="rect">
            <a:avLst/>
          </a:prstGeom>
        </xdr:spPr>
      </xdr:pic>
      <xdr:pic macro="[1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AAE06F06-180E-16C9-74D7-540A07326D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063441" y="1098023"/>
            <a:ext cx="375525" cy="358671"/>
          </a:xfrm>
          <a:prstGeom prst="rect">
            <a:avLst/>
          </a:prstGeom>
        </xdr:spPr>
      </xdr:pic>
      <xdr:pic macro="[1]!copythatfile">
        <xdr:nvPicPr>
          <xdr:cNvPr id="6" name="그림 5">
            <a:extLst>
              <a:ext uri="{FF2B5EF4-FFF2-40B4-BE49-F238E27FC236}">
                <a16:creationId xmlns:a16="http://schemas.microsoft.com/office/drawing/2014/main" id="{91908087-8765-BB53-496D-B5291EEA7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1488" y="1098404"/>
            <a:ext cx="375525" cy="357908"/>
          </a:xfrm>
          <a:prstGeom prst="rect">
            <a:avLst/>
          </a:prstGeom>
        </xdr:spPr>
      </xdr:pic>
      <xdr:pic macro="[1]!그림14_Click">
        <xdr:nvPicPr>
          <xdr:cNvPr id="7" name="그림 6">
            <a:extLst>
              <a:ext uri="{FF2B5EF4-FFF2-40B4-BE49-F238E27FC236}">
                <a16:creationId xmlns:a16="http://schemas.microsoft.com/office/drawing/2014/main" id="{CB023087-9C40-8E6B-20A6-CB9DA95744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4057" y="1098404"/>
            <a:ext cx="375525" cy="357908"/>
          </a:xfrm>
          <a:prstGeom prst="rect">
            <a:avLst/>
          </a:prstGeom>
        </xdr:spPr>
      </xdr:pic>
      <xdr:pic macro="[1]!수식">
        <xdr:nvPicPr>
          <xdr:cNvPr id="8" name="그림 7">
            <a:extLst>
              <a:ext uri="{FF2B5EF4-FFF2-40B4-BE49-F238E27FC236}">
                <a16:creationId xmlns:a16="http://schemas.microsoft.com/office/drawing/2014/main" id="{C0BD4C4B-CCF6-67B4-4B02-4BD879DFA8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535" y="1061358"/>
            <a:ext cx="432000" cy="432000"/>
          </a:xfrm>
          <a:prstGeom prst="rect">
            <a:avLst/>
          </a:prstGeom>
        </xdr:spPr>
      </xdr:pic>
      <xdr:pic macro="[1]!EASY">
        <xdr:nvPicPr>
          <xdr:cNvPr id="9" name="그림 8" hidden="1">
            <a:extLst>
              <a:ext uri="{FF2B5EF4-FFF2-40B4-BE49-F238E27FC236}">
                <a16:creationId xmlns:a16="http://schemas.microsoft.com/office/drawing/2014/main" id="{4A36F449-C9D9-3641-494D-DAB59DB2DC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72106" y="1103803"/>
            <a:ext cx="375525" cy="347110"/>
          </a:xfrm>
          <a:prstGeom prst="rect">
            <a:avLst/>
          </a:prstGeom>
        </xdr:spPr>
      </xdr:pic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B78-4AB8-4F9E-8CFA-6C0F2B46111A}">
  <sheetPr codeName="Sheet3">
    <tabColor theme="9" tint="0.39997558519241921"/>
  </sheetPr>
  <dimension ref="A1:Y40"/>
  <sheetViews>
    <sheetView tabSelected="1" view="pageBreakPreview" zoomScale="70" zoomScaleNormal="70" zoomScaleSheetLayoutView="70" zoomScalePageLayoutView="40" workbookViewId="0">
      <selection activeCell="E24" sqref="E24"/>
    </sheetView>
  </sheetViews>
  <sheetFormatPr defaultColWidth="18.375" defaultRowHeight="24.75" customHeight="1" x14ac:dyDescent="0.3"/>
  <cols>
    <col min="1" max="1" width="36" style="52" bestFit="1" customWidth="1"/>
    <col min="2" max="8" width="16.75" style="52" customWidth="1"/>
    <col min="9" max="9" width="30.5" style="52" hidden="1" customWidth="1"/>
    <col min="10" max="16" width="16.75" style="52" hidden="1" customWidth="1"/>
    <col min="17" max="23" width="18.375" style="52" hidden="1" customWidth="1"/>
    <col min="24" max="16384" width="18.375" style="52"/>
  </cols>
  <sheetData>
    <row r="1" spans="1:25" s="8" customFormat="1" ht="29.25" customHeight="1" x14ac:dyDescent="0.4">
      <c r="A1" s="1" t="s">
        <v>0</v>
      </c>
      <c r="B1" s="2">
        <v>46063</v>
      </c>
      <c r="C1" s="2"/>
      <c r="D1" s="3"/>
      <c r="E1" s="4">
        <v>918</v>
      </c>
      <c r="F1" s="5">
        <v>2234</v>
      </c>
      <c r="G1" s="6"/>
      <c r="H1" s="7"/>
      <c r="I1" s="1" t="s">
        <v>0</v>
      </c>
      <c r="J1" s="2">
        <f>B1</f>
        <v>46063</v>
      </c>
      <c r="K1" s="2"/>
      <c r="L1" s="3"/>
      <c r="M1" s="4">
        <v>911</v>
      </c>
      <c r="N1" s="5">
        <v>917</v>
      </c>
      <c r="O1" s="6"/>
      <c r="P1" s="6"/>
    </row>
    <row r="2" spans="1:25" s="8" customFormat="1" ht="29.25" customHeight="1" x14ac:dyDescent="0.4">
      <c r="A2" s="1" t="s">
        <v>1</v>
      </c>
      <c r="B2" s="9" t="s">
        <v>2</v>
      </c>
      <c r="C2" s="3"/>
      <c r="D2" s="10">
        <v>1</v>
      </c>
      <c r="E2" s="11"/>
      <c r="F2" s="11"/>
      <c r="G2" s="6"/>
      <c r="H2" s="6"/>
      <c r="I2" s="1" t="s">
        <v>1</v>
      </c>
      <c r="J2" s="9" t="s">
        <v>2</v>
      </c>
      <c r="K2" s="3"/>
      <c r="L2" s="10">
        <v>1</v>
      </c>
      <c r="M2" s="11"/>
      <c r="N2" s="11"/>
      <c r="O2" s="6"/>
      <c r="P2" s="6"/>
    </row>
    <row r="3" spans="1:25" s="8" customFormat="1" ht="29.25" customHeight="1" x14ac:dyDescent="0.4">
      <c r="A3" s="12" t="s">
        <v>3</v>
      </c>
      <c r="B3" s="13" t="s">
        <v>4</v>
      </c>
      <c r="C3" s="3"/>
      <c r="D3" s="11"/>
      <c r="E3" s="3"/>
      <c r="F3" s="3"/>
      <c r="G3" s="6"/>
      <c r="H3" s="6"/>
      <c r="I3" s="12" t="s">
        <v>3</v>
      </c>
      <c r="J3" s="8" t="s">
        <v>5</v>
      </c>
      <c r="K3" s="3"/>
      <c r="L3" s="11"/>
      <c r="M3" s="3"/>
      <c r="N3" s="3"/>
      <c r="O3" s="6"/>
      <c r="P3" s="6"/>
    </row>
    <row r="4" spans="1:25" s="8" customFormat="1" ht="31.5" customHeight="1" thickBot="1" x14ac:dyDescent="0.45">
      <c r="A4" s="14" t="s">
        <v>6</v>
      </c>
      <c r="B4" s="15" t="s">
        <v>7</v>
      </c>
      <c r="C4" s="15"/>
      <c r="D4" s="15"/>
      <c r="E4" s="15"/>
      <c r="F4" s="15"/>
      <c r="G4" s="15"/>
      <c r="H4" s="16"/>
      <c r="I4" s="14" t="s">
        <v>6</v>
      </c>
      <c r="J4" s="15" t="s">
        <v>7</v>
      </c>
      <c r="K4" s="15"/>
      <c r="L4" s="15"/>
      <c r="M4" s="15"/>
      <c r="N4" s="15"/>
      <c r="O4" s="15"/>
      <c r="P4" s="16"/>
    </row>
    <row r="5" spans="1:25" s="8" customFormat="1" ht="44.25" customHeight="1" thickTop="1" x14ac:dyDescent="0.3">
      <c r="A5" s="17" t="s">
        <v>8</v>
      </c>
      <c r="B5" s="17" t="s">
        <v>9</v>
      </c>
      <c r="C5" s="18" t="s">
        <v>10</v>
      </c>
      <c r="D5" s="18" t="s">
        <v>11</v>
      </c>
      <c r="E5" s="18" t="s">
        <v>12</v>
      </c>
      <c r="F5" s="17" t="s">
        <v>13</v>
      </c>
      <c r="G5" s="17" t="s">
        <v>14</v>
      </c>
      <c r="H5" s="17" t="s">
        <v>15</v>
      </c>
      <c r="I5" s="17" t="s">
        <v>8</v>
      </c>
      <c r="J5" s="17" t="s">
        <v>16</v>
      </c>
      <c r="K5" s="18" t="s">
        <v>10</v>
      </c>
      <c r="L5" s="18" t="s">
        <v>11</v>
      </c>
      <c r="M5" s="18" t="s">
        <v>12</v>
      </c>
      <c r="N5" s="17" t="s">
        <v>13</v>
      </c>
      <c r="O5" s="17" t="s">
        <v>14</v>
      </c>
      <c r="P5" s="17" t="s">
        <v>15</v>
      </c>
    </row>
    <row r="6" spans="1:25" s="8" customFormat="1" ht="36" customHeight="1" x14ac:dyDescent="0.3">
      <c r="A6" s="19" t="s">
        <v>17</v>
      </c>
      <c r="B6" s="19">
        <v>15</v>
      </c>
      <c r="C6" s="20">
        <v>8.86</v>
      </c>
      <c r="D6" s="20">
        <v>3.16</v>
      </c>
      <c r="E6" s="19" t="s">
        <v>18</v>
      </c>
      <c r="F6" s="19">
        <v>1</v>
      </c>
      <c r="G6" s="21">
        <f>(C6-D6)*300/(B6+((300-B6)*H6/100))</f>
        <v>88.715953307392994</v>
      </c>
      <c r="H6" s="22">
        <f>B6/1000*100</f>
        <v>1.5</v>
      </c>
      <c r="I6" s="19" t="s">
        <v>17</v>
      </c>
      <c r="J6" s="19">
        <v>15</v>
      </c>
      <c r="K6" s="19">
        <v>8.86</v>
      </c>
      <c r="L6" s="19">
        <v>3.16</v>
      </c>
      <c r="M6" s="19" t="s">
        <v>18</v>
      </c>
      <c r="N6" s="19">
        <v>1</v>
      </c>
      <c r="O6" s="21">
        <f>(C6-D6)*300/(B6+((300-B6)*H6/100))</f>
        <v>88.715953307392994</v>
      </c>
      <c r="P6" s="22">
        <f>J6/1000*100</f>
        <v>1.5</v>
      </c>
    </row>
    <row r="7" spans="1:25" s="8" customFormat="1" ht="29.25" customHeight="1" thickBot="1" x14ac:dyDescent="0.35">
      <c r="A7" s="23" t="s">
        <v>19</v>
      </c>
      <c r="B7" s="23">
        <v>300</v>
      </c>
      <c r="C7" s="24">
        <v>9</v>
      </c>
      <c r="D7" s="24">
        <v>8.32</v>
      </c>
      <c r="E7" s="25" t="s">
        <v>18</v>
      </c>
      <c r="F7" s="26">
        <v>1</v>
      </c>
      <c r="G7" s="27">
        <f>(C7-D7)*300/B7*F7</f>
        <v>0.67999999999999972</v>
      </c>
      <c r="H7" s="23" t="s">
        <v>20</v>
      </c>
      <c r="I7" s="23" t="s">
        <v>19</v>
      </c>
      <c r="J7" s="23">
        <v>300</v>
      </c>
      <c r="K7" s="25">
        <v>9</v>
      </c>
      <c r="L7" s="24">
        <v>8.32</v>
      </c>
      <c r="M7" s="25" t="s">
        <v>18</v>
      </c>
      <c r="N7" s="26">
        <v>1</v>
      </c>
      <c r="O7" s="27">
        <f>(C7-D7)*300/B7*F7</f>
        <v>0.67999999999999972</v>
      </c>
      <c r="P7" s="23" t="s">
        <v>15</v>
      </c>
      <c r="X7" s="5" t="s">
        <v>21</v>
      </c>
      <c r="Y7" s="5" t="s">
        <v>22</v>
      </c>
    </row>
    <row r="8" spans="1:25" s="8" customFormat="1" ht="29.25" customHeight="1" thickTop="1" x14ac:dyDescent="0.3">
      <c r="A8" s="28" t="s">
        <v>23</v>
      </c>
      <c r="B8" s="29">
        <v>50</v>
      </c>
      <c r="C8" s="30">
        <v>8.9</v>
      </c>
      <c r="D8" s="30">
        <v>3.06</v>
      </c>
      <c r="E8" s="31">
        <f t="shared" ref="E8:E37" si="0">IF($A$8:$A$37&lt;&gt;"",IFERROR(((300-$B$8:$B$37)*($H$6/100))/(($B$6+((300-$B$6)*($H$6/100)))),""),"")</f>
        <v>0.19455252918287938</v>
      </c>
      <c r="F8" s="32">
        <f t="shared" ref="F8:F37" si="1">IF($A$8:$A$37&lt;&gt;"",300/$B$8:$B$37,"")</f>
        <v>6</v>
      </c>
      <c r="G8" s="33">
        <f t="shared" ref="G8:G37" si="2">IFERROR(ROUND((($C$8:$C$37-$D$8:$D$37)-($C$6-$D$6)*$E$8:$E$37)*$F$8:$F$37,1),"")</f>
        <v>28.4</v>
      </c>
      <c r="H8" s="34" t="s">
        <v>24</v>
      </c>
      <c r="I8" s="28"/>
      <c r="J8" s="29"/>
      <c r="K8" s="35"/>
      <c r="L8" s="35"/>
      <c r="M8" s="35" t="str">
        <f t="shared" ref="M8:M37" si="3">IF($I$8:$I$37&lt;&gt;"",IFERROR(((300-$J$8:$J$37)*($P$6/100))/(($J$6+((300-$J$6)*($P$6/100)))),""),"")</f>
        <v/>
      </c>
      <c r="N8" s="33" t="str">
        <f t="shared" ref="N8:N37" si="4">IF($I$8:$I$37&lt;&gt;"",300/$J$8:$J$37,"")</f>
        <v/>
      </c>
      <c r="O8" s="33" t="str">
        <f t="shared" ref="O8:O37" si="5">IFERROR(ROUND((($K$8:$K$37-$L$8:$L$37)-($K$6-$L$6)*$M$8:$M$37)*$N$8:$N$37,1),"")</f>
        <v/>
      </c>
      <c r="P8" s="36"/>
      <c r="X8" s="37">
        <f>IFERROR((C8-D8)/C8,"")</f>
        <v>0.65617977528089888</v>
      </c>
      <c r="Y8" s="37" t="str">
        <f>IFERROR((K8-L8)/K8,"")</f>
        <v/>
      </c>
    </row>
    <row r="9" spans="1:25" s="8" customFormat="1" ht="29.25" customHeight="1" x14ac:dyDescent="0.3">
      <c r="A9" s="28" t="s">
        <v>25</v>
      </c>
      <c r="B9" s="29">
        <v>1</v>
      </c>
      <c r="C9" s="30">
        <v>9.01</v>
      </c>
      <c r="D9" s="30">
        <v>5.12</v>
      </c>
      <c r="E9" s="31">
        <f t="shared" si="0"/>
        <v>0.23268482490272371</v>
      </c>
      <c r="F9" s="32">
        <f t="shared" si="1"/>
        <v>300</v>
      </c>
      <c r="G9" s="33">
        <f t="shared" si="2"/>
        <v>769.1</v>
      </c>
      <c r="H9" s="34" t="s">
        <v>26</v>
      </c>
      <c r="I9" s="28"/>
      <c r="J9" s="29"/>
      <c r="K9" s="35"/>
      <c r="L9" s="35"/>
      <c r="M9" s="35" t="str">
        <f t="shared" si="3"/>
        <v/>
      </c>
      <c r="N9" s="33" t="str">
        <f t="shared" si="4"/>
        <v/>
      </c>
      <c r="O9" s="33" t="str">
        <f t="shared" si="5"/>
        <v/>
      </c>
      <c r="P9" s="36"/>
      <c r="X9" s="37">
        <f t="shared" ref="X9:X33" si="6">IFERROR((C9-D9)/C9,"")</f>
        <v>0.43174250832408434</v>
      </c>
      <c r="Y9" s="37" t="str">
        <f t="shared" ref="Y9:Y36" si="7">IFERROR((K9-L9)/K9,"")</f>
        <v/>
      </c>
    </row>
    <row r="10" spans="1:25" s="8" customFormat="1" ht="29.25" customHeight="1" x14ac:dyDescent="0.3">
      <c r="A10" s="28" t="s">
        <v>27</v>
      </c>
      <c r="B10" s="29">
        <v>5</v>
      </c>
      <c r="C10" s="30">
        <v>8.98</v>
      </c>
      <c r="D10" s="30">
        <v>5.12</v>
      </c>
      <c r="E10" s="31">
        <f t="shared" si="0"/>
        <v>0.22957198443579768</v>
      </c>
      <c r="F10" s="32">
        <f t="shared" si="1"/>
        <v>60</v>
      </c>
      <c r="G10" s="33">
        <f t="shared" si="2"/>
        <v>153.1</v>
      </c>
      <c r="H10" s="34" t="s">
        <v>28</v>
      </c>
      <c r="I10" s="28"/>
      <c r="J10" s="29"/>
      <c r="K10" s="35"/>
      <c r="L10" s="35"/>
      <c r="M10" s="35" t="str">
        <f t="shared" si="3"/>
        <v/>
      </c>
      <c r="N10" s="33" t="str">
        <f t="shared" si="4"/>
        <v/>
      </c>
      <c r="O10" s="33" t="str">
        <f t="shared" si="5"/>
        <v/>
      </c>
      <c r="P10" s="36"/>
      <c r="X10" s="37">
        <f t="shared" si="6"/>
        <v>0.42984409799554568</v>
      </c>
      <c r="Y10" s="37" t="str">
        <f t="shared" si="7"/>
        <v/>
      </c>
    </row>
    <row r="11" spans="1:25" s="8" customFormat="1" ht="29.25" customHeight="1" x14ac:dyDescent="0.3">
      <c r="A11" s="28" t="s">
        <v>29</v>
      </c>
      <c r="B11" s="29">
        <v>20</v>
      </c>
      <c r="C11" s="30">
        <v>8.98</v>
      </c>
      <c r="D11" s="30">
        <v>5.26</v>
      </c>
      <c r="E11" s="31">
        <f t="shared" si="0"/>
        <v>0.21789883268482493</v>
      </c>
      <c r="F11" s="32">
        <f t="shared" si="1"/>
        <v>15</v>
      </c>
      <c r="G11" s="33">
        <f t="shared" si="2"/>
        <v>37.200000000000003</v>
      </c>
      <c r="H11" s="38" t="s">
        <v>30</v>
      </c>
      <c r="I11" s="28"/>
      <c r="J11" s="29"/>
      <c r="K11" s="35"/>
      <c r="L11" s="35"/>
      <c r="M11" s="35" t="str">
        <f t="shared" si="3"/>
        <v/>
      </c>
      <c r="N11" s="33" t="str">
        <f t="shared" si="4"/>
        <v/>
      </c>
      <c r="O11" s="33" t="str">
        <f t="shared" si="5"/>
        <v/>
      </c>
      <c r="P11" s="36"/>
      <c r="X11" s="37">
        <f t="shared" si="6"/>
        <v>0.41425389755011138</v>
      </c>
      <c r="Y11" s="37" t="str">
        <f t="shared" si="7"/>
        <v/>
      </c>
    </row>
    <row r="12" spans="1:25" s="8" customFormat="1" ht="29.25" customHeight="1" x14ac:dyDescent="0.3">
      <c r="A12" s="28" t="s">
        <v>31</v>
      </c>
      <c r="B12" s="29">
        <v>250</v>
      </c>
      <c r="C12" s="30">
        <v>8.8800000000000008</v>
      </c>
      <c r="D12" s="30">
        <v>7.18</v>
      </c>
      <c r="E12" s="31">
        <f t="shared" si="0"/>
        <v>3.8910505836575876E-2</v>
      </c>
      <c r="F12" s="32">
        <f t="shared" si="1"/>
        <v>1.2</v>
      </c>
      <c r="G12" s="33">
        <f t="shared" si="2"/>
        <v>1.8</v>
      </c>
      <c r="H12" s="38" t="s">
        <v>32</v>
      </c>
      <c r="I12" s="28"/>
      <c r="J12" s="29"/>
      <c r="K12" s="35"/>
      <c r="L12" s="35"/>
      <c r="M12" s="35" t="str">
        <f t="shared" si="3"/>
        <v/>
      </c>
      <c r="N12" s="33" t="str">
        <f t="shared" si="4"/>
        <v/>
      </c>
      <c r="O12" s="33" t="str">
        <f t="shared" si="5"/>
        <v/>
      </c>
      <c r="P12" s="36"/>
      <c r="X12" s="37">
        <f t="shared" si="6"/>
        <v>0.19144144144144154</v>
      </c>
      <c r="Y12" s="37" t="str">
        <f t="shared" si="7"/>
        <v/>
      </c>
    </row>
    <row r="13" spans="1:25" s="8" customFormat="1" ht="29.25" customHeight="1" x14ac:dyDescent="0.3">
      <c r="A13" s="28" t="s">
        <v>33</v>
      </c>
      <c r="B13" s="29">
        <v>60</v>
      </c>
      <c r="C13" s="30">
        <v>8.9600000000000009</v>
      </c>
      <c r="D13" s="30">
        <v>5</v>
      </c>
      <c r="E13" s="31">
        <f t="shared" si="0"/>
        <v>0.1867704280155642</v>
      </c>
      <c r="F13" s="32">
        <f t="shared" si="1"/>
        <v>5</v>
      </c>
      <c r="G13" s="33">
        <f t="shared" si="2"/>
        <v>14.5</v>
      </c>
      <c r="H13" s="38" t="s">
        <v>34</v>
      </c>
      <c r="I13" s="28"/>
      <c r="J13" s="29"/>
      <c r="K13" s="35"/>
      <c r="L13" s="35"/>
      <c r="M13" s="35" t="str">
        <f t="shared" si="3"/>
        <v/>
      </c>
      <c r="N13" s="33" t="str">
        <f t="shared" si="4"/>
        <v/>
      </c>
      <c r="O13" s="33" t="str">
        <f t="shared" si="5"/>
        <v/>
      </c>
      <c r="P13" s="36"/>
      <c r="X13" s="37">
        <f t="shared" si="6"/>
        <v>0.44196428571428575</v>
      </c>
      <c r="Y13" s="37" t="str">
        <f t="shared" si="7"/>
        <v/>
      </c>
    </row>
    <row r="14" spans="1:25" s="8" customFormat="1" ht="29.25" customHeight="1" x14ac:dyDescent="0.3">
      <c r="A14" s="28" t="s">
        <v>35</v>
      </c>
      <c r="B14" s="29">
        <v>50</v>
      </c>
      <c r="C14" s="30">
        <v>8.9</v>
      </c>
      <c r="D14" s="30">
        <v>4.97</v>
      </c>
      <c r="E14" s="31">
        <f t="shared" si="0"/>
        <v>0.19455252918287938</v>
      </c>
      <c r="F14" s="32">
        <f t="shared" si="1"/>
        <v>6</v>
      </c>
      <c r="G14" s="33">
        <f t="shared" si="2"/>
        <v>16.899999999999999</v>
      </c>
      <c r="H14" s="38" t="s">
        <v>36</v>
      </c>
      <c r="I14" s="28"/>
      <c r="J14" s="29"/>
      <c r="K14" s="35"/>
      <c r="L14" s="35"/>
      <c r="M14" s="35" t="str">
        <f t="shared" si="3"/>
        <v/>
      </c>
      <c r="N14" s="35" t="str">
        <f t="shared" si="4"/>
        <v/>
      </c>
      <c r="O14" s="33" t="str">
        <f t="shared" si="5"/>
        <v/>
      </c>
      <c r="P14" s="36"/>
      <c r="X14" s="37">
        <f t="shared" si="6"/>
        <v>0.44157303370786521</v>
      </c>
      <c r="Y14" s="37" t="str">
        <f t="shared" si="7"/>
        <v/>
      </c>
    </row>
    <row r="15" spans="1:25" s="8" customFormat="1" ht="29.25" customHeight="1" x14ac:dyDescent="0.3">
      <c r="A15" s="28" t="s">
        <v>37</v>
      </c>
      <c r="B15" s="29">
        <v>250</v>
      </c>
      <c r="C15" s="30">
        <v>8.9</v>
      </c>
      <c r="D15" s="30">
        <v>7.76</v>
      </c>
      <c r="E15" s="31">
        <f t="shared" si="0"/>
        <v>3.8910505836575876E-2</v>
      </c>
      <c r="F15" s="32">
        <f t="shared" si="1"/>
        <v>1.2</v>
      </c>
      <c r="G15" s="33">
        <f t="shared" si="2"/>
        <v>1.1000000000000001</v>
      </c>
      <c r="H15" s="38" t="s">
        <v>38</v>
      </c>
      <c r="I15" s="28"/>
      <c r="J15" s="29"/>
      <c r="K15" s="35"/>
      <c r="L15" s="35"/>
      <c r="M15" s="35" t="str">
        <f t="shared" si="3"/>
        <v/>
      </c>
      <c r="N15" s="35" t="str">
        <f t="shared" si="4"/>
        <v/>
      </c>
      <c r="O15" s="33" t="str">
        <f t="shared" si="5"/>
        <v/>
      </c>
      <c r="P15" s="36"/>
      <c r="X15" s="37">
        <f t="shared" si="6"/>
        <v>0.12808988764044948</v>
      </c>
      <c r="Y15" s="37" t="str">
        <f t="shared" si="7"/>
        <v/>
      </c>
    </row>
    <row r="16" spans="1:25" s="8" customFormat="1" ht="29.25" customHeight="1" x14ac:dyDescent="0.3">
      <c r="A16" s="39" t="s">
        <v>39</v>
      </c>
      <c r="B16" s="40">
        <v>100</v>
      </c>
      <c r="C16" s="41">
        <v>9.02</v>
      </c>
      <c r="D16" s="41">
        <v>4.95</v>
      </c>
      <c r="E16" s="42">
        <f t="shared" si="0"/>
        <v>0.1556420233463035</v>
      </c>
      <c r="F16" s="43">
        <f t="shared" si="1"/>
        <v>3</v>
      </c>
      <c r="G16" s="44">
        <f t="shared" si="2"/>
        <v>9.5</v>
      </c>
      <c r="H16" s="45" t="s">
        <v>40</v>
      </c>
      <c r="I16" s="28"/>
      <c r="J16" s="29"/>
      <c r="K16" s="35"/>
      <c r="L16" s="35"/>
      <c r="M16" s="35" t="str">
        <f t="shared" si="3"/>
        <v/>
      </c>
      <c r="N16" s="35" t="str">
        <f t="shared" si="4"/>
        <v/>
      </c>
      <c r="O16" s="33" t="str">
        <f t="shared" si="5"/>
        <v/>
      </c>
      <c r="P16" s="36"/>
      <c r="X16" s="37">
        <f t="shared" si="6"/>
        <v>0.45121951219512191</v>
      </c>
      <c r="Y16" s="37" t="str">
        <f t="shared" si="7"/>
        <v/>
      </c>
    </row>
    <row r="17" spans="1:25" s="8" customFormat="1" ht="29.25" customHeight="1" x14ac:dyDescent="0.3">
      <c r="A17" s="39" t="s">
        <v>41</v>
      </c>
      <c r="B17" s="40">
        <v>10</v>
      </c>
      <c r="C17" s="41">
        <v>8.92</v>
      </c>
      <c r="D17" s="41">
        <v>2.84</v>
      </c>
      <c r="E17" s="42">
        <f t="shared" si="0"/>
        <v>0.22568093385214008</v>
      </c>
      <c r="F17" s="43">
        <f t="shared" si="1"/>
        <v>30</v>
      </c>
      <c r="G17" s="44">
        <f t="shared" si="2"/>
        <v>143.80000000000001</v>
      </c>
      <c r="H17" s="45" t="s">
        <v>42</v>
      </c>
      <c r="I17" s="28"/>
      <c r="J17" s="29"/>
      <c r="K17" s="35"/>
      <c r="L17" s="35"/>
      <c r="M17" s="35" t="str">
        <f t="shared" si="3"/>
        <v/>
      </c>
      <c r="N17" s="35" t="str">
        <f t="shared" si="4"/>
        <v/>
      </c>
      <c r="O17" s="33" t="str">
        <f t="shared" si="5"/>
        <v/>
      </c>
      <c r="P17" s="36"/>
      <c r="X17" s="37">
        <f t="shared" si="6"/>
        <v>0.68161434977578472</v>
      </c>
      <c r="Y17" s="37"/>
    </row>
    <row r="18" spans="1:25" s="8" customFormat="1" ht="29.25" customHeight="1" x14ac:dyDescent="0.3">
      <c r="A18" s="39" t="s">
        <v>43</v>
      </c>
      <c r="B18" s="40" t="s">
        <v>44</v>
      </c>
      <c r="C18" s="41" t="s">
        <v>45</v>
      </c>
      <c r="D18" s="41" t="s">
        <v>46</v>
      </c>
      <c r="E18" s="42">
        <f t="shared" si="0"/>
        <v>0.21789883268482493</v>
      </c>
      <c r="F18" s="43">
        <f t="shared" si="1"/>
        <v>15</v>
      </c>
      <c r="G18" s="44">
        <f t="shared" si="2"/>
        <v>44.2</v>
      </c>
      <c r="H18" s="46" t="s">
        <v>47</v>
      </c>
      <c r="I18" s="28"/>
      <c r="J18" s="29"/>
      <c r="K18" s="35"/>
      <c r="L18" s="35"/>
      <c r="M18" s="35" t="str">
        <f t="shared" si="3"/>
        <v/>
      </c>
      <c r="N18" s="35" t="str">
        <f t="shared" si="4"/>
        <v/>
      </c>
      <c r="O18" s="33" t="str">
        <f t="shared" si="5"/>
        <v/>
      </c>
      <c r="P18" s="36"/>
      <c r="X18" s="37">
        <f t="shared" si="6"/>
        <v>0.46555555555555561</v>
      </c>
      <c r="Y18" s="37"/>
    </row>
    <row r="19" spans="1:25" s="8" customFormat="1" ht="29.25" customHeight="1" x14ac:dyDescent="0.3">
      <c r="A19" s="39" t="s">
        <v>48</v>
      </c>
      <c r="B19" s="40" t="s">
        <v>44</v>
      </c>
      <c r="C19" s="41" t="s">
        <v>49</v>
      </c>
      <c r="D19" s="41" t="s">
        <v>50</v>
      </c>
      <c r="E19" s="42">
        <f t="shared" si="0"/>
        <v>0.21789883268482493</v>
      </c>
      <c r="F19" s="43">
        <f t="shared" si="1"/>
        <v>15</v>
      </c>
      <c r="G19" s="44">
        <f t="shared" si="2"/>
        <v>49.5</v>
      </c>
      <c r="H19" s="45" t="s">
        <v>51</v>
      </c>
      <c r="I19" s="28"/>
      <c r="J19" s="29"/>
      <c r="K19" s="35"/>
      <c r="L19" s="35"/>
      <c r="M19" s="35" t="str">
        <f t="shared" si="3"/>
        <v/>
      </c>
      <c r="N19" s="35" t="str">
        <f t="shared" si="4"/>
        <v/>
      </c>
      <c r="O19" s="33" t="str">
        <f t="shared" si="5"/>
        <v/>
      </c>
      <c r="P19" s="36"/>
      <c r="X19" s="37">
        <f t="shared" si="6"/>
        <v>0.50556792873051226</v>
      </c>
      <c r="Y19" s="37" t="str">
        <f t="shared" si="7"/>
        <v/>
      </c>
    </row>
    <row r="20" spans="1:25" s="8" customFormat="1" ht="29.25" customHeight="1" x14ac:dyDescent="0.3">
      <c r="A20" s="39" t="s">
        <v>52</v>
      </c>
      <c r="B20" s="40" t="s">
        <v>53</v>
      </c>
      <c r="C20" s="41" t="s">
        <v>54</v>
      </c>
      <c r="D20" s="41" t="s">
        <v>55</v>
      </c>
      <c r="E20" s="42">
        <f t="shared" si="0"/>
        <v>0.1556420233463035</v>
      </c>
      <c r="F20" s="43">
        <f t="shared" si="1"/>
        <v>3</v>
      </c>
      <c r="G20" s="44">
        <f t="shared" si="2"/>
        <v>10.4</v>
      </c>
      <c r="H20" s="45" t="s">
        <v>56</v>
      </c>
      <c r="I20" s="28"/>
      <c r="J20" s="29"/>
      <c r="K20" s="35"/>
      <c r="L20" s="35"/>
      <c r="M20" s="35" t="str">
        <f t="shared" si="3"/>
        <v/>
      </c>
      <c r="N20" s="35" t="str">
        <f t="shared" si="4"/>
        <v/>
      </c>
      <c r="O20" s="33" t="str">
        <f t="shared" si="5"/>
        <v/>
      </c>
      <c r="P20" s="36"/>
      <c r="X20" s="37">
        <f t="shared" si="6"/>
        <v>0.48821548821548827</v>
      </c>
      <c r="Y20" s="37" t="str">
        <f t="shared" si="7"/>
        <v/>
      </c>
    </row>
    <row r="21" spans="1:25" s="8" customFormat="1" ht="29.25" customHeight="1" x14ac:dyDescent="0.3">
      <c r="A21" s="39"/>
      <c r="B21" s="40"/>
      <c r="C21" s="41"/>
      <c r="D21" s="41"/>
      <c r="E21" s="42" t="str">
        <f t="shared" si="0"/>
        <v/>
      </c>
      <c r="F21" s="43" t="str">
        <f t="shared" si="1"/>
        <v/>
      </c>
      <c r="G21" s="44" t="str">
        <f t="shared" si="2"/>
        <v/>
      </c>
      <c r="H21" s="45"/>
      <c r="I21" s="28"/>
      <c r="J21" s="29"/>
      <c r="K21" s="47"/>
      <c r="L21" s="35"/>
      <c r="M21" s="35" t="str">
        <f t="shared" si="3"/>
        <v/>
      </c>
      <c r="N21" s="35" t="str">
        <f t="shared" si="4"/>
        <v/>
      </c>
      <c r="O21" s="33" t="str">
        <f t="shared" si="5"/>
        <v/>
      </c>
      <c r="P21" s="36"/>
      <c r="X21" s="37" t="str">
        <f t="shared" si="6"/>
        <v/>
      </c>
      <c r="Y21" s="37" t="str">
        <f t="shared" si="7"/>
        <v/>
      </c>
    </row>
    <row r="22" spans="1:25" s="8" customFormat="1" ht="29.25" customHeight="1" x14ac:dyDescent="0.3">
      <c r="A22" s="39"/>
      <c r="B22" s="40"/>
      <c r="C22" s="41"/>
      <c r="D22" s="41"/>
      <c r="E22" s="42" t="str">
        <f t="shared" si="0"/>
        <v/>
      </c>
      <c r="F22" s="43" t="str">
        <f t="shared" si="1"/>
        <v/>
      </c>
      <c r="G22" s="44" t="str">
        <f t="shared" si="2"/>
        <v/>
      </c>
      <c r="H22" s="45"/>
      <c r="I22" s="28"/>
      <c r="J22" s="29"/>
      <c r="K22" s="47"/>
      <c r="L22" s="35"/>
      <c r="M22" s="35" t="str">
        <f t="shared" si="3"/>
        <v/>
      </c>
      <c r="N22" s="35" t="str">
        <f t="shared" si="4"/>
        <v/>
      </c>
      <c r="O22" s="33" t="str">
        <f t="shared" si="5"/>
        <v/>
      </c>
      <c r="P22" s="36"/>
      <c r="X22" s="37" t="str">
        <f t="shared" si="6"/>
        <v/>
      </c>
      <c r="Y22" s="37" t="str">
        <f t="shared" si="7"/>
        <v/>
      </c>
    </row>
    <row r="23" spans="1:25" s="8" customFormat="1" ht="29.25" customHeight="1" x14ac:dyDescent="0.3">
      <c r="A23" s="39"/>
      <c r="B23" s="40"/>
      <c r="C23" s="41"/>
      <c r="D23" s="41"/>
      <c r="E23" s="42" t="str">
        <f t="shared" si="0"/>
        <v/>
      </c>
      <c r="F23" s="43" t="str">
        <f t="shared" si="1"/>
        <v/>
      </c>
      <c r="G23" s="44" t="str">
        <f t="shared" si="2"/>
        <v/>
      </c>
      <c r="H23" s="45"/>
      <c r="I23" s="28"/>
      <c r="J23" s="29"/>
      <c r="K23" s="47"/>
      <c r="L23" s="35"/>
      <c r="M23" s="35" t="str">
        <f t="shared" si="3"/>
        <v/>
      </c>
      <c r="N23" s="35" t="str">
        <f t="shared" si="4"/>
        <v/>
      </c>
      <c r="O23" s="33" t="str">
        <f t="shared" si="5"/>
        <v/>
      </c>
      <c r="P23" s="36"/>
      <c r="X23" s="37" t="str">
        <f t="shared" si="6"/>
        <v/>
      </c>
      <c r="Y23" s="37" t="str">
        <f t="shared" si="7"/>
        <v/>
      </c>
    </row>
    <row r="24" spans="1:25" s="8" customFormat="1" ht="29.25" customHeight="1" x14ac:dyDescent="0.3">
      <c r="A24" s="39"/>
      <c r="B24" s="40"/>
      <c r="C24" s="41"/>
      <c r="D24" s="41"/>
      <c r="E24" s="42" t="str">
        <f t="shared" si="0"/>
        <v/>
      </c>
      <c r="F24" s="43" t="str">
        <f t="shared" si="1"/>
        <v/>
      </c>
      <c r="G24" s="44" t="str">
        <f t="shared" si="2"/>
        <v/>
      </c>
      <c r="H24" s="45"/>
      <c r="I24" s="28"/>
      <c r="J24" s="29"/>
      <c r="K24" s="47"/>
      <c r="L24" s="35"/>
      <c r="M24" s="35" t="str">
        <f t="shared" si="3"/>
        <v/>
      </c>
      <c r="N24" s="35" t="str">
        <f t="shared" si="4"/>
        <v/>
      </c>
      <c r="O24" s="33" t="str">
        <f t="shared" si="5"/>
        <v/>
      </c>
      <c r="P24" s="36"/>
      <c r="X24" s="37" t="str">
        <f t="shared" si="6"/>
        <v/>
      </c>
      <c r="Y24" s="37" t="str">
        <f t="shared" si="7"/>
        <v/>
      </c>
    </row>
    <row r="25" spans="1:25" s="8" customFormat="1" ht="29.25" customHeight="1" x14ac:dyDescent="0.3">
      <c r="A25" s="39"/>
      <c r="B25" s="40"/>
      <c r="C25" s="41"/>
      <c r="D25" s="41"/>
      <c r="E25" s="42" t="str">
        <f t="shared" si="0"/>
        <v/>
      </c>
      <c r="F25" s="43" t="str">
        <f t="shared" si="1"/>
        <v/>
      </c>
      <c r="G25" s="44" t="str">
        <f t="shared" si="2"/>
        <v/>
      </c>
      <c r="H25" s="45"/>
      <c r="I25" s="28"/>
      <c r="J25" s="29"/>
      <c r="K25" s="47"/>
      <c r="L25" s="35"/>
      <c r="M25" s="35" t="str">
        <f t="shared" si="3"/>
        <v/>
      </c>
      <c r="N25" s="35" t="str">
        <f t="shared" si="4"/>
        <v/>
      </c>
      <c r="O25" s="33" t="str">
        <f t="shared" si="5"/>
        <v/>
      </c>
      <c r="P25" s="36"/>
      <c r="X25" s="37" t="str">
        <f t="shared" si="6"/>
        <v/>
      </c>
      <c r="Y25" s="37" t="str">
        <f t="shared" si="7"/>
        <v/>
      </c>
    </row>
    <row r="26" spans="1:25" s="8" customFormat="1" ht="29.25" customHeight="1" x14ac:dyDescent="0.3">
      <c r="A26" s="39"/>
      <c r="B26" s="40"/>
      <c r="C26" s="41"/>
      <c r="D26" s="41"/>
      <c r="E26" s="42" t="str">
        <f t="shared" si="0"/>
        <v/>
      </c>
      <c r="F26" s="43" t="str">
        <f t="shared" si="1"/>
        <v/>
      </c>
      <c r="G26" s="44" t="str">
        <f t="shared" si="2"/>
        <v/>
      </c>
      <c r="H26" s="45"/>
      <c r="I26" s="28"/>
      <c r="J26" s="29"/>
      <c r="K26" s="47"/>
      <c r="L26" s="35"/>
      <c r="M26" s="35" t="str">
        <f t="shared" si="3"/>
        <v/>
      </c>
      <c r="N26" s="35" t="str">
        <f t="shared" si="4"/>
        <v/>
      </c>
      <c r="O26" s="33" t="str">
        <f t="shared" si="5"/>
        <v/>
      </c>
      <c r="P26" s="36"/>
      <c r="X26" s="37" t="str">
        <f t="shared" si="6"/>
        <v/>
      </c>
      <c r="Y26" s="37" t="str">
        <f t="shared" si="7"/>
        <v/>
      </c>
    </row>
    <row r="27" spans="1:25" s="8" customFormat="1" ht="29.25" customHeight="1" x14ac:dyDescent="0.3">
      <c r="A27" s="39"/>
      <c r="B27" s="40"/>
      <c r="C27" s="41"/>
      <c r="D27" s="41"/>
      <c r="E27" s="42" t="str">
        <f t="shared" si="0"/>
        <v/>
      </c>
      <c r="F27" s="43" t="str">
        <f t="shared" si="1"/>
        <v/>
      </c>
      <c r="G27" s="44" t="str">
        <f t="shared" si="2"/>
        <v/>
      </c>
      <c r="H27" s="45"/>
      <c r="I27" s="28"/>
      <c r="J27" s="29"/>
      <c r="K27" s="47"/>
      <c r="L27" s="35"/>
      <c r="M27" s="35" t="str">
        <f t="shared" si="3"/>
        <v/>
      </c>
      <c r="N27" s="35" t="str">
        <f t="shared" si="4"/>
        <v/>
      </c>
      <c r="O27" s="33" t="str">
        <f t="shared" si="5"/>
        <v/>
      </c>
      <c r="P27" s="36"/>
      <c r="X27" s="37" t="str">
        <f t="shared" si="6"/>
        <v/>
      </c>
      <c r="Y27" s="37" t="str">
        <f t="shared" si="7"/>
        <v/>
      </c>
    </row>
    <row r="28" spans="1:25" s="8" customFormat="1" ht="29.25" customHeight="1" x14ac:dyDescent="0.3">
      <c r="A28" s="39"/>
      <c r="B28" s="40"/>
      <c r="C28" s="41"/>
      <c r="D28" s="41"/>
      <c r="E28" s="42" t="str">
        <f t="shared" si="0"/>
        <v/>
      </c>
      <c r="F28" s="43" t="str">
        <f t="shared" si="1"/>
        <v/>
      </c>
      <c r="G28" s="44" t="str">
        <f t="shared" si="2"/>
        <v/>
      </c>
      <c r="H28" s="45"/>
      <c r="I28" s="28"/>
      <c r="J28" s="29"/>
      <c r="K28" s="47"/>
      <c r="L28" s="35"/>
      <c r="M28" s="35" t="str">
        <f t="shared" si="3"/>
        <v/>
      </c>
      <c r="N28" s="35" t="str">
        <f t="shared" si="4"/>
        <v/>
      </c>
      <c r="O28" s="33" t="str">
        <f t="shared" si="5"/>
        <v/>
      </c>
      <c r="P28" s="36"/>
      <c r="X28" s="37" t="str">
        <f t="shared" si="6"/>
        <v/>
      </c>
      <c r="Y28" s="37" t="str">
        <f t="shared" si="7"/>
        <v/>
      </c>
    </row>
    <row r="29" spans="1:25" s="8" customFormat="1" ht="29.25" customHeight="1" x14ac:dyDescent="0.3">
      <c r="A29" s="39"/>
      <c r="B29" s="40"/>
      <c r="C29" s="41"/>
      <c r="D29" s="41"/>
      <c r="E29" s="42" t="str">
        <f t="shared" si="0"/>
        <v/>
      </c>
      <c r="F29" s="43" t="str">
        <f t="shared" si="1"/>
        <v/>
      </c>
      <c r="G29" s="44" t="str">
        <f t="shared" si="2"/>
        <v/>
      </c>
      <c r="H29" s="45"/>
      <c r="I29" s="28"/>
      <c r="J29" s="29"/>
      <c r="K29" s="47"/>
      <c r="L29" s="35"/>
      <c r="M29" s="35" t="str">
        <f t="shared" si="3"/>
        <v/>
      </c>
      <c r="N29" s="35" t="str">
        <f t="shared" si="4"/>
        <v/>
      </c>
      <c r="O29" s="33" t="str">
        <f t="shared" si="5"/>
        <v/>
      </c>
      <c r="P29" s="36"/>
      <c r="X29" s="37" t="str">
        <f t="shared" si="6"/>
        <v/>
      </c>
      <c r="Y29" s="37" t="str">
        <f t="shared" si="7"/>
        <v/>
      </c>
    </row>
    <row r="30" spans="1:25" s="8" customFormat="1" ht="29.25" customHeight="1" x14ac:dyDescent="0.3">
      <c r="A30" s="39"/>
      <c r="B30" s="40"/>
      <c r="C30" s="41"/>
      <c r="D30" s="41"/>
      <c r="E30" s="42" t="str">
        <f t="shared" si="0"/>
        <v/>
      </c>
      <c r="F30" s="43" t="str">
        <f t="shared" si="1"/>
        <v/>
      </c>
      <c r="G30" s="44" t="str">
        <f t="shared" si="2"/>
        <v/>
      </c>
      <c r="H30" s="45"/>
      <c r="I30" s="28"/>
      <c r="J30" s="29"/>
      <c r="K30" s="47"/>
      <c r="L30" s="35"/>
      <c r="M30" s="35" t="str">
        <f t="shared" si="3"/>
        <v/>
      </c>
      <c r="N30" s="35" t="str">
        <f t="shared" si="4"/>
        <v/>
      </c>
      <c r="O30" s="33" t="str">
        <f t="shared" si="5"/>
        <v/>
      </c>
      <c r="P30" s="36"/>
      <c r="X30" s="37" t="str">
        <f t="shared" si="6"/>
        <v/>
      </c>
      <c r="Y30" s="37" t="str">
        <f t="shared" si="7"/>
        <v/>
      </c>
    </row>
    <row r="31" spans="1:25" s="8" customFormat="1" ht="29.25" customHeight="1" x14ac:dyDescent="0.3">
      <c r="A31" s="39"/>
      <c r="B31" s="40"/>
      <c r="C31" s="41"/>
      <c r="D31" s="41"/>
      <c r="E31" s="42" t="str">
        <f t="shared" si="0"/>
        <v/>
      </c>
      <c r="F31" s="43" t="str">
        <f t="shared" si="1"/>
        <v/>
      </c>
      <c r="G31" s="44" t="str">
        <f t="shared" si="2"/>
        <v/>
      </c>
      <c r="H31" s="45"/>
      <c r="I31" s="28"/>
      <c r="J31" s="29"/>
      <c r="K31" s="47"/>
      <c r="L31" s="35"/>
      <c r="M31" s="35" t="str">
        <f t="shared" si="3"/>
        <v/>
      </c>
      <c r="N31" s="35" t="str">
        <f t="shared" si="4"/>
        <v/>
      </c>
      <c r="O31" s="33" t="str">
        <f t="shared" si="5"/>
        <v/>
      </c>
      <c r="P31" s="36"/>
      <c r="X31" s="37" t="str">
        <f t="shared" si="6"/>
        <v/>
      </c>
      <c r="Y31" s="37" t="str">
        <f t="shared" si="7"/>
        <v/>
      </c>
    </row>
    <row r="32" spans="1:25" s="8" customFormat="1" ht="29.25" customHeight="1" x14ac:dyDescent="0.3">
      <c r="A32" s="39"/>
      <c r="B32" s="40"/>
      <c r="C32" s="41"/>
      <c r="D32" s="41"/>
      <c r="E32" s="42" t="str">
        <f t="shared" si="0"/>
        <v/>
      </c>
      <c r="F32" s="43" t="str">
        <f t="shared" si="1"/>
        <v/>
      </c>
      <c r="G32" s="44" t="str">
        <f t="shared" si="2"/>
        <v/>
      </c>
      <c r="H32" s="45"/>
      <c r="I32" s="28"/>
      <c r="J32" s="29"/>
      <c r="K32" s="47"/>
      <c r="L32" s="35"/>
      <c r="M32" s="35" t="str">
        <f t="shared" si="3"/>
        <v/>
      </c>
      <c r="N32" s="35" t="str">
        <f t="shared" si="4"/>
        <v/>
      </c>
      <c r="O32" s="33" t="str">
        <f t="shared" si="5"/>
        <v/>
      </c>
      <c r="P32" s="36"/>
      <c r="X32" s="37" t="str">
        <f t="shared" si="6"/>
        <v/>
      </c>
      <c r="Y32" s="37" t="str">
        <f t="shared" si="7"/>
        <v/>
      </c>
    </row>
    <row r="33" spans="1:25" s="8" customFormat="1" ht="29.25" customHeight="1" x14ac:dyDescent="0.3">
      <c r="A33" s="39"/>
      <c r="B33" s="40"/>
      <c r="C33" s="41"/>
      <c r="D33" s="41"/>
      <c r="E33" s="42" t="str">
        <f t="shared" si="0"/>
        <v/>
      </c>
      <c r="F33" s="40" t="str">
        <f t="shared" si="1"/>
        <v/>
      </c>
      <c r="G33" s="44" t="str">
        <f t="shared" si="2"/>
        <v/>
      </c>
      <c r="H33" s="45"/>
      <c r="I33" s="28"/>
      <c r="J33" s="29"/>
      <c r="K33" s="47"/>
      <c r="L33" s="35"/>
      <c r="M33" s="35" t="str">
        <f t="shared" si="3"/>
        <v/>
      </c>
      <c r="N33" s="35" t="str">
        <f t="shared" si="4"/>
        <v/>
      </c>
      <c r="O33" s="33" t="str">
        <f t="shared" si="5"/>
        <v/>
      </c>
      <c r="P33" s="36"/>
      <c r="X33" s="37" t="str">
        <f t="shared" si="6"/>
        <v/>
      </c>
      <c r="Y33" s="37" t="str">
        <f t="shared" si="7"/>
        <v/>
      </c>
    </row>
    <row r="34" spans="1:25" s="8" customFormat="1" ht="29.25" customHeight="1" x14ac:dyDescent="0.3">
      <c r="A34" s="39"/>
      <c r="B34" s="40"/>
      <c r="C34" s="41"/>
      <c r="D34" s="41"/>
      <c r="E34" s="42" t="str">
        <f t="shared" si="0"/>
        <v/>
      </c>
      <c r="F34" s="40" t="str">
        <f t="shared" si="1"/>
        <v/>
      </c>
      <c r="G34" s="44" t="str">
        <f t="shared" si="2"/>
        <v/>
      </c>
      <c r="H34" s="45"/>
      <c r="I34" s="28"/>
      <c r="J34" s="29"/>
      <c r="K34" s="47"/>
      <c r="L34" s="35"/>
      <c r="M34" s="35" t="str">
        <f t="shared" si="3"/>
        <v/>
      </c>
      <c r="N34" s="35" t="str">
        <f t="shared" si="4"/>
        <v/>
      </c>
      <c r="O34" s="33" t="str">
        <f t="shared" si="5"/>
        <v/>
      </c>
      <c r="P34" s="36"/>
      <c r="X34" s="37" t="str">
        <f>IFERROR((C33-D33)/C33,"")</f>
        <v/>
      </c>
      <c r="Y34" s="37" t="str">
        <f t="shared" si="7"/>
        <v/>
      </c>
    </row>
    <row r="35" spans="1:25" s="8" customFormat="1" ht="29.25" customHeight="1" x14ac:dyDescent="0.3">
      <c r="A35" s="39"/>
      <c r="B35" s="40"/>
      <c r="C35" s="41"/>
      <c r="D35" s="41"/>
      <c r="E35" s="42" t="str">
        <f t="shared" si="0"/>
        <v/>
      </c>
      <c r="F35" s="43" t="str">
        <f t="shared" si="1"/>
        <v/>
      </c>
      <c r="G35" s="44" t="str">
        <f t="shared" si="2"/>
        <v/>
      </c>
      <c r="H35" s="45"/>
      <c r="I35" s="28"/>
      <c r="J35" s="29"/>
      <c r="K35" s="47"/>
      <c r="L35" s="35"/>
      <c r="M35" s="35" t="str">
        <f t="shared" si="3"/>
        <v/>
      </c>
      <c r="N35" s="35" t="str">
        <f t="shared" si="4"/>
        <v/>
      </c>
      <c r="O35" s="33" t="str">
        <f t="shared" si="5"/>
        <v/>
      </c>
      <c r="P35" s="36"/>
      <c r="X35" s="37" t="str">
        <f t="shared" ref="X35:X40" si="8">IFERROR((C34-D34)/C34,"")</f>
        <v/>
      </c>
      <c r="Y35" s="37" t="str">
        <f t="shared" si="7"/>
        <v/>
      </c>
    </row>
    <row r="36" spans="1:25" s="8" customFormat="1" ht="29.25" customHeight="1" x14ac:dyDescent="0.3">
      <c r="A36" s="39"/>
      <c r="B36" s="40"/>
      <c r="C36" s="41"/>
      <c r="D36" s="41"/>
      <c r="E36" s="42" t="str">
        <f t="shared" si="0"/>
        <v/>
      </c>
      <c r="F36" s="43" t="str">
        <f t="shared" si="1"/>
        <v/>
      </c>
      <c r="G36" s="44" t="str">
        <f t="shared" si="2"/>
        <v/>
      </c>
      <c r="H36" s="45"/>
      <c r="I36" s="28"/>
      <c r="J36" s="29"/>
      <c r="K36" s="47"/>
      <c r="L36" s="35"/>
      <c r="M36" s="35" t="str">
        <f t="shared" si="3"/>
        <v/>
      </c>
      <c r="N36" s="35" t="str">
        <f t="shared" si="4"/>
        <v/>
      </c>
      <c r="O36" s="33" t="str">
        <f t="shared" si="5"/>
        <v/>
      </c>
      <c r="P36" s="36"/>
      <c r="X36" s="37" t="str">
        <f t="shared" si="8"/>
        <v/>
      </c>
      <c r="Y36" s="37" t="str">
        <f t="shared" si="7"/>
        <v/>
      </c>
    </row>
    <row r="37" spans="1:25" s="8" customFormat="1" ht="29.25" customHeight="1" thickBot="1" x14ac:dyDescent="0.35">
      <c r="A37" s="39"/>
      <c r="B37" s="40"/>
      <c r="C37" s="41"/>
      <c r="D37" s="41"/>
      <c r="E37" s="42" t="str">
        <f t="shared" si="0"/>
        <v/>
      </c>
      <c r="F37" s="40" t="str">
        <f t="shared" si="1"/>
        <v/>
      </c>
      <c r="G37" s="44" t="str">
        <f t="shared" si="2"/>
        <v/>
      </c>
      <c r="H37" s="45"/>
      <c r="I37" s="28"/>
      <c r="J37" s="29"/>
      <c r="K37" s="47"/>
      <c r="L37" s="35"/>
      <c r="M37" s="35" t="str">
        <f t="shared" si="3"/>
        <v/>
      </c>
      <c r="N37" s="35" t="str">
        <f t="shared" si="4"/>
        <v/>
      </c>
      <c r="O37" s="33" t="str">
        <f t="shared" si="5"/>
        <v/>
      </c>
      <c r="P37" s="36"/>
      <c r="X37" s="37" t="str">
        <f t="shared" si="8"/>
        <v/>
      </c>
      <c r="Y37" s="37" t="str">
        <f>IFERROR((#REF!-#REF!)/#REF!,"")</f>
        <v/>
      </c>
    </row>
    <row r="38" spans="1:25" s="8" customFormat="1" ht="29.25" customHeight="1" thickTop="1" x14ac:dyDescent="0.4">
      <c r="A38" s="48"/>
      <c r="B38" s="49"/>
      <c r="C38" s="50" t="s">
        <v>57</v>
      </c>
      <c r="D38" s="50"/>
      <c r="E38" s="50" t="s">
        <v>58</v>
      </c>
      <c r="F38" s="50"/>
      <c r="G38" s="50" t="s">
        <v>59</v>
      </c>
      <c r="H38" s="50"/>
      <c r="I38" s="48"/>
      <c r="J38" s="49"/>
      <c r="K38" s="50" t="s">
        <v>57</v>
      </c>
      <c r="L38" s="50"/>
      <c r="M38" s="50" t="s">
        <v>58</v>
      </c>
      <c r="N38" s="50"/>
      <c r="O38" s="50" t="s">
        <v>59</v>
      </c>
      <c r="P38" s="50"/>
      <c r="X38" s="37" t="str">
        <f t="shared" si="8"/>
        <v/>
      </c>
      <c r="Y38" s="37"/>
    </row>
    <row r="39" spans="1:25" s="8" customFormat="1" ht="30" customHeight="1" x14ac:dyDescent="0.3">
      <c r="C39" s="51" t="s">
        <v>60</v>
      </c>
      <c r="D39" s="51"/>
      <c r="E39" s="51" t="s">
        <v>61</v>
      </c>
      <c r="F39" s="51"/>
      <c r="G39" s="51" t="s">
        <v>62</v>
      </c>
      <c r="H39" s="51"/>
      <c r="K39" s="51" t="s">
        <v>60</v>
      </c>
      <c r="L39" s="51"/>
      <c r="M39" s="51" t="s">
        <v>61</v>
      </c>
      <c r="N39" s="51"/>
      <c r="O39" s="51" t="s">
        <v>63</v>
      </c>
      <c r="P39" s="51"/>
      <c r="X39" s="37" t="str">
        <f t="shared" si="8"/>
        <v/>
      </c>
      <c r="Y39" s="37" t="str">
        <f>IFERROR((K38-L38)/K38,"")</f>
        <v/>
      </c>
    </row>
    <row r="40" spans="1:25" s="8" customFormat="1" ht="30" customHeight="1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X40" s="37" t="str">
        <f t="shared" si="8"/>
        <v/>
      </c>
      <c r="Y40" s="37" t="str">
        <f>IFERROR((K39-L39)/K39,"")</f>
        <v/>
      </c>
    </row>
  </sheetData>
  <mergeCells count="16">
    <mergeCell ref="C39:D39"/>
    <mergeCell ref="E39:F39"/>
    <mergeCell ref="G39:H39"/>
    <mergeCell ref="K39:L39"/>
    <mergeCell ref="M39:N39"/>
    <mergeCell ref="O39:P39"/>
    <mergeCell ref="B1:C1"/>
    <mergeCell ref="J1:K1"/>
    <mergeCell ref="B4:G4"/>
    <mergeCell ref="J4:O4"/>
    <mergeCell ref="C38:D38"/>
    <mergeCell ref="E38:F38"/>
    <mergeCell ref="G38:H38"/>
    <mergeCell ref="K38:L38"/>
    <mergeCell ref="M38:N38"/>
    <mergeCell ref="O38:P38"/>
  </mergeCells>
  <phoneticPr fontId="3" type="noConversion"/>
  <printOptions horizontalCentered="1" verticalCentered="1"/>
  <pageMargins left="0.6692913385826772" right="0.70866141732283472" top="1.7322834645669292" bottom="0.9055118110236221" header="0.78740157480314965" footer="0.59055118110236227"/>
  <pageSetup paperSize="9" scale="52" orientation="portrait" r:id="rId1"/>
  <headerFooter>
    <oddHeader>&amp;L&amp;G&amp;C&amp;"KBIZ한마음고딕 B,굵게"&amp;48&amp;K00-046생물화학적산소요구량 시험기록부</oddHeader>
    <oddFooter>&amp;C&amp;"KBIZ한마음고딕 B,굵게"&amp;48&amp;K00-047리뉴어스주식회사-수질분석센터</oddFooter>
  </headerFooter>
  <colBreaks count="1" manualBreakCount="1">
    <brk id="8" max="39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5</xdr:col>
                    <xdr:colOff>314325</xdr:colOff>
                    <xdr:row>2</xdr:row>
                    <xdr:rowOff>361950</xdr:rowOff>
                  </from>
                  <to>
                    <xdr:col>5</xdr:col>
                    <xdr:colOff>695325</xdr:colOff>
                    <xdr:row>3</xdr:row>
                    <xdr:rowOff>352425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BOD</vt:lpstr>
      <vt:lpstr>BOD!Print_Area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2026-04-15T07:11:58Z</dcterms:created>
  <dcterms:modified xsi:type="dcterms:W3CDTF">2026-04-15T07:12:35Z</dcterms:modified>
</cp:coreProperties>
</file>