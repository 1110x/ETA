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U:\1. 측정대행 관련(표준계약서, 견적서 등)\4. 지에스칼텍스(주) 여수공장(2024.07.14. ~ 2026.07.13.)\4. 시험기록부\2025년\2025년 2분기(25-05-14)\생물류\생태독성\25.05.14지에스칼텍스\"/>
    </mc:Choice>
  </mc:AlternateContent>
  <xr:revisionPtr revIDLastSave="0" documentId="13_ncr:1_{9C005868-5C0F-4E40-93ED-4483941FB1EC}" xr6:coauthVersionLast="47" xr6:coauthVersionMax="47" xr10:uidLastSave="{00000000-0000-0000-0000-000000000000}"/>
  <bookViews>
    <workbookView xWindow="-120" yWindow="-120" windowWidth="29040" windowHeight="15720" firstSheet="1" activeTab="3" xr2:uid="{00000000-000D-0000-FFFF-FFFF00000000}"/>
  </bookViews>
  <sheets>
    <sheet name="2023년 1분기 용성 전항목(00.00%)" sheetId="1" r:id="rId1"/>
    <sheet name="2023년 1분기 용성 전항목(.00%) (2)" sheetId="5" r:id="rId2"/>
    <sheet name="2023년 1분기 용성 전항목(신뢰구간X)" sheetId="4" r:id="rId3"/>
    <sheet name="DATA" sheetId="3" r:id="rId4"/>
  </sheets>
  <definedNames>
    <definedName name="_xlnm.Print_Area" localSheetId="1">'2023년 1분기 용성 전항목(.00%) (2)'!$A$1:$I$71</definedName>
    <definedName name="_xlnm.Print_Area" localSheetId="0">'2023년 1분기 용성 전항목(00.00%)'!$A$1:$I$71</definedName>
    <definedName name="_xlnm.Print_Area" localSheetId="2">'2023년 1분기 용성 전항목(신뢰구간X)'!$A$1:$I$71</definedName>
  </definedNames>
  <calcPr calcId="191029"/>
</workbook>
</file>

<file path=xl/calcChain.xml><?xml version="1.0" encoding="utf-8"?>
<calcChain xmlns="http://schemas.openxmlformats.org/spreadsheetml/2006/main">
  <c r="E63" i="4" l="1"/>
  <c r="A4" i="4" l="1"/>
  <c r="E62" i="5" a="1"/>
  <c r="E62" i="5" s="1"/>
  <c r="A39" i="4" a="1"/>
  <c r="A39" i="4" s="1"/>
  <c r="A40" i="4" a="1"/>
  <c r="A40" i="4" s="1"/>
  <c r="E64" i="5" l="1" a="1"/>
  <c r="E64" i="5" s="1"/>
  <c r="E63" i="5" a="1"/>
  <c r="E63" i="5" s="1"/>
  <c r="D58" i="5" a="1"/>
  <c r="D58" i="5" s="1"/>
  <c r="D57" i="5" a="1"/>
  <c r="D57" i="5" s="1"/>
  <c r="D56" i="5" a="1"/>
  <c r="D56" i="5" s="1"/>
  <c r="D55" i="5" a="1"/>
  <c r="D55" i="5" s="1"/>
  <c r="D54" i="5" a="1"/>
  <c r="D54" i="5" s="1"/>
  <c r="B48" i="5" a="1"/>
  <c r="B48" i="5" s="1"/>
  <c r="E47" i="5" a="1"/>
  <c r="E47" i="5" s="1"/>
  <c r="B47" i="5" a="1"/>
  <c r="B47" i="5" s="1"/>
  <c r="A43" i="5" a="1"/>
  <c r="A43" i="5" s="1"/>
  <c r="A42" i="5" a="1"/>
  <c r="A42" i="5" s="1"/>
  <c r="A41" i="5" a="1"/>
  <c r="A41" i="5" s="1"/>
  <c r="A40" i="5" a="1"/>
  <c r="A40" i="5" s="1"/>
  <c r="A39" i="5" a="1"/>
  <c r="A39" i="5" s="1"/>
  <c r="A13" i="5" a="1"/>
  <c r="A13" i="5" s="1"/>
  <c r="A6" i="5" a="1"/>
  <c r="A6" i="5" s="1"/>
  <c r="A4" i="5" a="1"/>
  <c r="A4" i="5" s="1"/>
  <c r="D60" i="1"/>
  <c r="D60" i="4"/>
  <c r="E62" i="4" a="1"/>
  <c r="E62" i="4" s="1"/>
  <c r="D58" i="4" a="1"/>
  <c r="D58" i="4" s="1"/>
  <c r="D57" i="4" a="1"/>
  <c r="D57" i="4" s="1"/>
  <c r="D56" i="4" a="1"/>
  <c r="D56" i="4" s="1"/>
  <c r="D55" i="4" a="1"/>
  <c r="D55" i="4" s="1"/>
  <c r="D54" i="4" a="1"/>
  <c r="D54" i="4" s="1"/>
  <c r="B48" i="4" a="1"/>
  <c r="B48" i="4" s="1"/>
  <c r="E47" i="4" a="1"/>
  <c r="E47" i="4" s="1"/>
  <c r="B47" i="4" a="1"/>
  <c r="B47" i="4" s="1"/>
  <c r="A43" i="4" a="1"/>
  <c r="A43" i="4" s="1"/>
  <c r="A42" i="4" a="1"/>
  <c r="A42" i="4" s="1"/>
  <c r="A41" i="4" a="1"/>
  <c r="A41" i="4" s="1"/>
  <c r="A13" i="4" a="1"/>
  <c r="A13" i="4" s="1"/>
  <c r="A6" i="4" a="1"/>
  <c r="A6" i="4" s="1"/>
  <c r="E64" i="1" l="1" a="1"/>
  <c r="E64" i="1" s="1"/>
  <c r="E63" i="1" a="1"/>
  <c r="E63" i="1" s="1"/>
  <c r="E62" i="1" a="1"/>
  <c r="E62" i="1" s="1"/>
  <c r="D58" i="1" a="1"/>
  <c r="D58" i="1" s="1"/>
  <c r="D56" i="1" a="1"/>
  <c r="D56" i="1" s="1"/>
  <c r="D55" i="1" a="1"/>
  <c r="D55" i="1" s="1"/>
  <c r="D54" i="1" a="1"/>
  <c r="D54" i="1" s="1"/>
  <c r="D57" i="1" a="1"/>
  <c r="D57" i="1" s="1"/>
  <c r="A39" i="1" a="1"/>
  <c r="A39" i="1" s="1"/>
  <c r="B48" i="1" a="1"/>
  <c r="B48" i="1" s="1"/>
  <c r="A13" i="1" a="1"/>
  <c r="A13" i="1" s="1"/>
  <c r="E47" i="1" a="1"/>
  <c r="E47" i="1" s="1"/>
  <c r="A6" i="1" a="1"/>
  <c r="A6" i="1" s="1"/>
  <c r="B47" i="1" a="1"/>
  <c r="B47" i="1" s="1"/>
  <c r="A4" i="1" a="1"/>
  <c r="A4" i="1" s="1"/>
  <c r="A43" i="1" a="1"/>
  <c r="A43" i="1" s="1"/>
  <c r="A42" i="1" a="1"/>
  <c r="A42" i="1" s="1"/>
  <c r="A41" i="1" a="1"/>
  <c r="A41" i="1" s="1"/>
  <c r="A40" i="1" a="1"/>
  <c r="A40" i="1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<sst xmlns="http://schemas.openxmlformats.org/spreadsheetml/2006/main" count="176" uniqueCount="71">
  <si>
    <t>TRIMMED SPEARMAN-KARBER METHOD.  VERSION 1.5</t>
  </si>
  <si>
    <t> ENTER DATE OF TEST:</t>
  </si>
  <si>
    <t> ENTER TEST NUMBER:</t>
  </si>
  <si>
    <t> WHAT IS TO BE ESTIMATED?</t>
  </si>
  <si>
    <t> (ENTER "L" FOR LC50 AND "E" FOR EC50)</t>
  </si>
  <si>
    <t>E</t>
  </si>
  <si>
    <t> ENTER TEST SPECIES NAME:</t>
  </si>
  <si>
    <t>Daphnia magna</t>
  </si>
  <si>
    <t>Effluent</t>
  </si>
  <si>
    <t> ENTER UNITS FOR EXPOSURE CONCENTRATION OF TOXICANT :</t>
  </si>
  <si>
    <t>% </t>
  </si>
  <si>
    <t> ENTER THE NUMBER OF INDIVIDUALS IN THE CONTROL:</t>
  </si>
  <si>
    <t> ENTER THE NUMBER OF MORTALITIES IN THE CONTROL:</t>
  </si>
  <si>
    <t> ENTER THE NUMBER OF CONCENTRATIONS</t>
  </si>
  <si>
    <t> (NOT INCLUDING THE CONTROL;  MAX = 10):</t>
  </si>
  <si>
    <t> ENTER THE  5 EXPOSURE CONCENTRATIONS (IN INCREASING ORDER):</t>
  </si>
  <si>
    <t> ARE THE NUMBER OF INDIVIDUALS AT EACH EXPOSURE CONCENTRATION EQUAL(Y/N)?</t>
  </si>
  <si>
    <t>Y</t>
  </si>
  <si>
    <t> ENTER THE NUMBER OF INDIVIDUALS AT EACH EXPOSURE CONCENTRATION:</t>
  </si>
  <si>
    <t> ENTER UNITS FOR DURATION OF EXPERIMENT</t>
  </si>
  <si>
    <t> (ENTER "H" FOR HOURS, "D" FOR DAYS, ETC.):</t>
  </si>
  <si>
    <t>H</t>
  </si>
  <si>
    <t> ENTER DURATION OF TEST:</t>
  </si>
  <si>
    <t> ENTER THE NUMBER OF MORTALITIES AT EACH EXPOSURE CONCENTRATION:</t>
  </si>
  <si>
    <t> WOULD YOU LIKE THE AUTOMATIC TRIM CALCULATION(Y/N)?</t>
  </si>
  <si>
    <t> RAW DATA:  Concentration      Number      Mortalities</t>
  </si>
  <si>
    <r>
      <t>--- ----</t>
    </r>
    <r>
      <rPr>
        <sz val="10"/>
        <color rgb="FF000000"/>
        <rFont val="맑은 고딕"/>
        <family val="3"/>
        <charset val="129"/>
      </rPr>
      <t>   (%)               Exposed</t>
    </r>
  </si>
  <si>
    <t>-----------------------------------------------------------------------------------------------------------</t>
  </si>
  <si>
    <t> WOULD YOU LIKE TO HAVE A COPY SENT TO THE PRINTER(Y/N)?</t>
  </si>
  <si>
    <t> WOULD YOU LIKE TO CONTINUE (Y/N)?</t>
  </si>
  <si>
    <t>N</t>
  </si>
  <si>
    <t> RUN COMPLETED</t>
  </si>
  <si>
    <t>24 H</t>
    <phoneticPr fontId="24" type="noConversion"/>
  </si>
  <si>
    <t xml:space="preserve">DATE : </t>
    <phoneticPr fontId="24" type="noConversion"/>
  </si>
  <si>
    <t>DURATION :</t>
    <phoneticPr fontId="24" type="noConversion"/>
  </si>
  <si>
    <r>
      <t xml:space="preserve">  </t>
    </r>
    <r>
      <rPr>
        <sz val="10"/>
        <color rgb="FF000000"/>
        <rFont val="맑은 고딕"/>
        <family val="3"/>
        <charset val="129"/>
      </rPr>
      <t>SPEARMAN-KARBER ESTIMATES:</t>
    </r>
    <r>
      <rPr>
        <sz val="10"/>
        <color rgb="FFFF0000"/>
        <rFont val="맑은 고딕"/>
        <family val="3"/>
        <charset val="129"/>
      </rPr>
      <t xml:space="preserve">     </t>
    </r>
    <r>
      <rPr>
        <sz val="10"/>
        <color rgb="FF0000FF"/>
        <rFont val="맑은 고딕"/>
        <family val="3"/>
        <charset val="129"/>
      </rPr>
      <t xml:space="preserve">EC50 </t>
    </r>
    <r>
      <rPr>
        <sz val="10"/>
        <color rgb="FF000000"/>
        <rFont val="맑은 고딕"/>
        <family val="3"/>
        <charset val="129"/>
      </rPr>
      <t>:</t>
    </r>
    <phoneticPr fontId="24" type="noConversion"/>
  </si>
  <si>
    <t>TOXICANT :</t>
    <phoneticPr fontId="24" type="noConversion"/>
  </si>
  <si>
    <t xml:space="preserve"> TEST NUMBER :</t>
    <phoneticPr fontId="24" type="noConversion"/>
  </si>
  <si>
    <t> ENTER TOXICANT  NAME:</t>
    <phoneticPr fontId="24" type="noConversion"/>
  </si>
  <si>
    <t>25.00 </t>
    <phoneticPr fontId="24" type="noConversion"/>
  </si>
  <si>
    <t>100.00 </t>
    <phoneticPr fontId="24" type="noConversion"/>
  </si>
  <si>
    <t>  SPEARMAN-KARBER TRIM:</t>
    <phoneticPr fontId="24" type="noConversion"/>
  </si>
  <si>
    <r>
      <t>SPECIES:</t>
    </r>
    <r>
      <rPr>
        <sz val="10"/>
        <color rgb="FFFF0000"/>
        <rFont val="맑은 고딕"/>
        <family val="3"/>
        <charset val="129"/>
      </rPr>
      <t xml:space="preserve">  </t>
    </r>
    <r>
      <rPr>
        <sz val="10"/>
        <color rgb="FF0000FF"/>
        <rFont val="맑은 고딕"/>
        <family val="3"/>
        <charset val="129"/>
      </rPr>
      <t>Daphnia magna</t>
    </r>
    <phoneticPr fontId="24" type="noConversion"/>
  </si>
  <si>
    <r>
      <t>                </t>
    </r>
    <r>
      <rPr>
        <sz val="10"/>
        <color rgb="FF000000"/>
        <rFont val="맑은 고딕"/>
        <family val="3"/>
        <charset val="129"/>
      </rPr>
      <t>95% LOWER CONFIDENCE</t>
    </r>
    <r>
      <rPr>
        <sz val="9"/>
        <color rgb="FF000000"/>
        <rFont val="맑은 고딕"/>
        <family val="3"/>
        <charset val="129"/>
      </rPr>
      <t xml:space="preserve"> </t>
    </r>
    <r>
      <rPr>
        <sz val="10"/>
        <color rgb="FF000000"/>
        <rFont val="맑은 고딕"/>
        <family val="3"/>
        <charset val="129"/>
      </rPr>
      <t>: </t>
    </r>
    <phoneticPr fontId="24" type="noConversion"/>
  </si>
  <si>
    <r>
      <t xml:space="preserve">              95% </t>
    </r>
    <r>
      <rPr>
        <sz val="11"/>
        <color rgb="FF000000"/>
        <rFont val="맑은 고딕"/>
        <family val="3"/>
        <charset val="129"/>
      </rPr>
      <t>UPPER</t>
    </r>
    <r>
      <rPr>
        <sz val="10"/>
        <color rgb="FF000000"/>
        <rFont val="맑은 고딕"/>
        <family val="3"/>
        <charset val="129"/>
      </rPr>
      <t xml:space="preserve"> CONFIDENCE :</t>
    </r>
    <phoneticPr fontId="24" type="noConversion"/>
  </si>
  <si>
    <t> 95% UPPER CONFIDENCE</t>
    <phoneticPr fontId="24" type="noConversion"/>
  </si>
  <si>
    <t>95% LOWER CONFIDENCE</t>
    <phoneticPr fontId="24" type="noConversion"/>
  </si>
  <si>
    <t>EC50</t>
    <phoneticPr fontId="24" type="noConversion"/>
  </si>
  <si>
    <t>SPEARMAN-KARBER TRIM</t>
  </si>
  <si>
    <t>구간별 물벼룩 유영저해 마리수</t>
    <phoneticPr fontId="24" type="noConversion"/>
  </si>
  <si>
    <t>시료성분</t>
    <phoneticPr fontId="24" type="noConversion"/>
  </si>
  <si>
    <t>시료번호</t>
    <phoneticPr fontId="24" type="noConversion"/>
  </si>
  <si>
    <t>시험날짜</t>
    <phoneticPr fontId="24" type="noConversion"/>
  </si>
  <si>
    <t>95% CONFIDENCE LIMITS
ARE NOT RELIABLE.</t>
    <phoneticPr fontId="24" type="noConversion"/>
  </si>
  <si>
    <t>emc 230202 - 010 - Sa</t>
  </si>
  <si>
    <t>emc 230202 - 011 - Sa</t>
  </si>
  <si>
    <t>emc 230202 - 012 - Sa</t>
  </si>
  <si>
    <t>emc 230202 - 013 - Sa</t>
  </si>
  <si>
    <t>emc 230202 - 014 - Sa</t>
  </si>
  <si>
    <t>emc 230202 - 015 - Sa</t>
  </si>
  <si>
    <t>emc 230202 - 016 - Sa</t>
  </si>
  <si>
    <t>emc 230202 - 017 - Sa</t>
  </si>
  <si>
    <t>emc 230202 - 018 - Sa</t>
  </si>
  <si>
    <t>emc 230202 - 019 - Sa</t>
  </si>
  <si>
    <t>emc 230202 - 020 - Sa</t>
  </si>
  <si>
    <t>emc 230202 - 021 - Sa</t>
  </si>
  <si>
    <t>Effluent</t>
    <phoneticPr fontId="24" type="noConversion"/>
  </si>
  <si>
    <t>-</t>
    <phoneticPr fontId="24" type="noConversion"/>
  </si>
  <si>
    <t>95% CONFODENCE LIMITS ARE NOT RELIABLE.</t>
    <phoneticPr fontId="24" type="noConversion"/>
  </si>
  <si>
    <t xml:space="preserve">  renewus 250514 - 003 - A</t>
  </si>
  <si>
    <t xml:space="preserve">  renewus 250514 - 015 -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</si>
</sst>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"/>
    <numFmt numFmtId="177" formatCode="yyyy\.mm\.dd"/>
    <numFmt numFmtId="178" formatCode="00.00"/>
    <numFmt numFmtId="179" formatCode="0.00&quot;%&quot;"/>
    <numFmt numFmtId="180" formatCode="&quot;.&quot;00&quot;%&quot;"/>
  </numFmts>
  <fonts count="2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</font>
    <font>
      <sz val="10"/>
      <color rgb="FFFF0000"/>
      <name val="맑은 고딕"/>
      <family val="3"/>
      <charset val="129"/>
    </font>
    <font>
      <sz val="10"/>
      <color rgb="FF0000FF"/>
      <name val="맑은 고딕"/>
      <family val="3"/>
      <charset val="129"/>
    </font>
    <font>
      <sz val="17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8"/>
      <name val="맑은 고딕"/>
      <family val="2"/>
      <charset val="129"/>
      <scheme val="minor"/>
    </font>
    <font>
      <sz val="10"/>
      <color rgb="FF0070C0"/>
      <name val="맑은 고딕"/>
      <family val="3"/>
      <charset val="129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67">
    <xf numFmtId="0" fontId="0" fillId="0" borderId="0" xfId="0">
      <alignment vertical="center"/>
    </xf>
    <xf numFmtId="0" fontId="18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vertical="center" wrapText="1"/>
    </xf>
    <xf numFmtId="0" fontId="18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9" fillId="0" borderId="0" xfId="0" applyFont="1" applyAlignment="1">
      <alignment horizontal="left" vertical="center" wrapText="1"/>
    </xf>
    <xf numFmtId="0" fontId="20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21" fillId="0" borderId="0" xfId="0" applyFont="1" applyAlignment="1">
      <alignment horizontal="left" vertical="center" wrapText="1"/>
    </xf>
    <xf numFmtId="0" fontId="25" fillId="0" borderId="0" xfId="0" applyFont="1" applyAlignment="1">
      <alignment vertical="center" wrapText="1"/>
    </xf>
    <xf numFmtId="0" fontId="20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176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2" fontId="0" fillId="0" borderId="10" xfId="0" applyNumberFormat="1" applyBorder="1">
      <alignment vertical="center"/>
    </xf>
    <xf numFmtId="14" fontId="0" fillId="0" borderId="11" xfId="0" applyNumberFormat="1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14" fontId="0" fillId="0" borderId="15" xfId="0" applyNumberFormat="1" applyBorder="1">
      <alignment vertical="center"/>
    </xf>
    <xf numFmtId="177" fontId="19" fillId="0" borderId="0" xfId="0" applyNumberFormat="1" applyFont="1" applyAlignment="1">
      <alignment horizontal="left" vertical="center" wrapText="1"/>
    </xf>
    <xf numFmtId="0" fontId="18" fillId="0" borderId="0" xfId="0" applyFont="1" applyAlignment="1">
      <alignment horizontal="right" vertical="center" wrapText="1"/>
    </xf>
    <xf numFmtId="178" fontId="19" fillId="0" borderId="0" xfId="0" applyNumberFormat="1" applyFont="1" applyAlignment="1">
      <alignment horizontal="right" vertical="center" wrapText="1"/>
    </xf>
    <xf numFmtId="2" fontId="19" fillId="0" borderId="0" xfId="0" applyNumberFormat="1" applyFont="1" applyAlignment="1">
      <alignment vertical="center" wrapText="1"/>
    </xf>
    <xf numFmtId="0" fontId="18" fillId="0" borderId="0" xfId="0" applyFont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/>
    </xf>
    <xf numFmtId="177" fontId="19" fillId="0" borderId="0" xfId="0" applyNumberFormat="1" applyFont="1" applyAlignment="1">
      <alignment horizontal="left" vertical="center" wrapText="1"/>
    </xf>
    <xf numFmtId="0" fontId="0" fillId="0" borderId="0" xfId="0">
      <alignment vertical="center"/>
    </xf>
    <xf numFmtId="0" fontId="21" fillId="0" borderId="0" xfId="0" applyFont="1" applyAlignment="1">
      <alignment horizontal="left" vertical="center" wrapText="1"/>
    </xf>
    <xf numFmtId="0" fontId="18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1" fillId="0" borderId="0" xfId="0" applyFont="1" applyAlignment="1">
      <alignment horizontal="left" vertical="center" wrapText="1"/>
    </xf>
    <xf numFmtId="0" fontId="0" fillId="0" borderId="0" xfId="0">
      <alignment vertical="center"/>
    </xf>
    <xf numFmtId="177" fontId="19" fillId="0" borderId="0" xfId="0" applyNumberFormat="1" applyFont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0" fillId="0" borderId="0" xfId="0" applyBorder="1">
      <alignment vertical="center"/>
    </xf>
    <xf numFmtId="2" fontId="0" fillId="0" borderId="10" xfId="0" applyNumberFormat="1" applyBorder="1" applyAlignment="1">
      <alignment vertical="center" wrapText="1"/>
    </xf>
    <xf numFmtId="179" fontId="19" fillId="0" borderId="0" xfId="0" applyNumberFormat="1" applyFont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right" vertical="center" wrapText="1"/>
    </xf>
    <xf numFmtId="0" fontId="0" fillId="0" borderId="10" xfId="0" applyBorder="1" applyAlignment="1">
      <alignment horizontal="center" vertical="center"/>
    </xf>
    <xf numFmtId="0" fontId="0" fillId="0" borderId="0" xfId="0" applyFill="1" applyBorder="1">
      <alignment vertical="center"/>
    </xf>
    <xf numFmtId="10" fontId="0" fillId="0" borderId="10" xfId="0" applyNumberFormat="1" applyBorder="1">
      <alignment vertical="center"/>
    </xf>
    <xf numFmtId="179" fontId="0" fillId="0" borderId="10" xfId="0" applyNumberFormat="1" applyBorder="1">
      <alignment vertical="center"/>
    </xf>
    <xf numFmtId="0" fontId="18" fillId="0" borderId="0" xfId="0" applyFont="1" applyAlignment="1">
      <alignment horizontal="center" vertical="center" wrapText="1"/>
    </xf>
    <xf numFmtId="2" fontId="20" fillId="0" borderId="0" xfId="0" applyNumberFormat="1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9" fillId="0" borderId="0" xfId="0" applyFont="1" applyAlignment="1">
      <alignment horizontal="center" vertical="center" wrapText="1"/>
    </xf>
    <xf numFmtId="0" fontId="18" fillId="0" borderId="0" xfId="0" applyFont="1" applyAlignment="1">
      <alignment horizontal="right" vertical="center"/>
    </xf>
    <xf numFmtId="0" fontId="0" fillId="0" borderId="0" xfId="0" applyAlignment="1">
      <alignment horizontal="left" vertical="center"/>
    </xf>
    <xf numFmtId="177" fontId="19" fillId="0" borderId="0" xfId="0" applyNumberFormat="1" applyFont="1" applyAlignment="1">
      <alignment horizontal="left" vertical="center" wrapText="1"/>
    </xf>
    <xf numFmtId="0" fontId="18" fillId="0" borderId="0" xfId="0" applyFont="1" applyAlignment="1">
      <alignment horizontal="justify" vertical="center" wrapText="1"/>
    </xf>
    <xf numFmtId="0" fontId="0" fillId="0" borderId="0" xfId="0">
      <alignment vertical="center"/>
    </xf>
    <xf numFmtId="0" fontId="21" fillId="0" borderId="0" xfId="0" applyFont="1" applyAlignment="1">
      <alignment horizontal="left" vertical="center" wrapText="1"/>
    </xf>
    <xf numFmtId="0" fontId="20" fillId="0" borderId="0" xfId="0" applyFont="1" applyAlignment="1">
      <alignment horizontal="left" vertical="center" wrapText="1"/>
    </xf>
    <xf numFmtId="0" fontId="19" fillId="0" borderId="0" xfId="0" applyNumberFormat="1" applyFont="1" applyAlignment="1">
      <alignment horizontal="left" vertical="center" wrapText="1"/>
    </xf>
    <xf numFmtId="0" fontId="0" fillId="0" borderId="1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22" fmlaLink="$K$1" max="3000" min="1" page="10" val="5"/>
</file>

<file path=xl/ctrlProps/ctrlProp2.xml><?xml version="1.0" encoding="utf-8"?>
<formControlPr xmlns="http://schemas.microsoft.com/office/spreadsheetml/2009/9/main" objectType="Spin" dx="22" fmlaLink="$K$1" max="3000" min="1" page="10" val="2"/>
</file>

<file path=xl/ctrlProps/ctrlProp3.xml><?xml version="1.0" encoding="utf-8"?>
<formControlPr xmlns="http://schemas.microsoft.com/office/spreadsheetml/2009/9/main" objectType="Spin" dx="22" fmlaLink="$K$1" max="3000" min="1" page="1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504825</xdr:colOff>
          <xdr:row>0</xdr:row>
          <xdr:rowOff>133350</xdr:rowOff>
        </xdr:from>
        <xdr:to>
          <xdr:col>11</xdr:col>
          <xdr:colOff>504825</xdr:colOff>
          <xdr:row>5</xdr:row>
          <xdr:rowOff>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504825</xdr:colOff>
          <xdr:row>0</xdr:row>
          <xdr:rowOff>133350</xdr:rowOff>
        </xdr:from>
        <xdr:to>
          <xdr:col>11</xdr:col>
          <xdr:colOff>504825</xdr:colOff>
          <xdr:row>5</xdr:row>
          <xdr:rowOff>0</xdr:rowOff>
        </xdr:to>
        <xdr:sp macro="" textlink="">
          <xdr:nvSpPr>
            <xdr:cNvPr id="4097" name="Spinner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504825</xdr:colOff>
          <xdr:row>0</xdr:row>
          <xdr:rowOff>133350</xdr:rowOff>
        </xdr:from>
        <xdr:to>
          <xdr:col>11</xdr:col>
          <xdr:colOff>504825</xdr:colOff>
          <xdr:row>5</xdr:row>
          <xdr:rowOff>0</xdr:rowOff>
        </xdr:to>
        <xdr:sp macro="" textlink="">
          <xdr:nvSpPr>
            <xdr:cNvPr id="3073" name="Spinner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71"/>
  <sheetViews>
    <sheetView showGridLines="0" view="pageBreakPreview" topLeftCell="A46" zoomScale="85" zoomScaleNormal="100" zoomScaleSheetLayoutView="85" workbookViewId="0">
      <selection activeCell="G60" sqref="G60"/>
    </sheetView>
  </sheetViews>
  <sheetFormatPr defaultRowHeight="16.5" x14ac:dyDescent="0.3"/>
  <cols>
    <col min="1" max="1" width="11.125" bestFit="1" customWidth="1"/>
    <col min="2" max="2" width="9.25" bestFit="1" customWidth="1"/>
    <col min="6" max="6" width="13.5" customWidth="1"/>
    <col min="7" max="7" width="10.875" bestFit="1" customWidth="1"/>
  </cols>
  <sheetData>
    <row r="1" spans="1:26" ht="16.5" customHeight="1" x14ac:dyDescent="0.3">
      <c r="A1" s="53" t="s">
        <v>0</v>
      </c>
      <c r="B1" s="53"/>
      <c r="C1" s="53"/>
      <c r="D1" s="53"/>
      <c r="E1" s="53"/>
      <c r="F1" s="53"/>
      <c r="G1" s="53"/>
      <c r="H1" s="53"/>
      <c r="I1" s="53"/>
      <c r="J1" s="5"/>
      <c r="K1" s="5">
        <v>5</v>
      </c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">
      <c r="A2" s="57"/>
      <c r="B2" s="57"/>
      <c r="C2" s="57"/>
      <c r="D2" s="57"/>
      <c r="E2" s="57"/>
      <c r="F2" s="57"/>
      <c r="G2" s="57"/>
      <c r="H2" s="57"/>
      <c r="I2" s="57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spans="1:26" ht="16.5" customHeight="1" x14ac:dyDescent="0.3">
      <c r="A3" s="53" t="s">
        <v>1</v>
      </c>
      <c r="B3" s="53"/>
      <c r="C3" s="53"/>
      <c r="D3" s="53"/>
      <c r="E3" s="53"/>
      <c r="F3" s="53"/>
      <c r="G3" s="53"/>
      <c r="H3" s="53"/>
      <c r="I3" s="53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ht="16.5" customHeight="1" x14ac:dyDescent="0.3">
      <c r="A4" s="58" cm="1">
        <f t="array" ref="A4">INDEX(DATA!$1:$1048576,$K$1+2,2)</f>
        <v>44959</v>
      </c>
      <c r="B4" s="58"/>
      <c r="C4" s="58"/>
      <c r="D4" s="58"/>
      <c r="E4" s="58"/>
      <c r="F4" s="58"/>
      <c r="G4" s="58"/>
      <c r="H4" s="58"/>
      <c r="I4" s="58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ht="16.5" customHeight="1" x14ac:dyDescent="0.3">
      <c r="A5" s="53" t="s">
        <v>2</v>
      </c>
      <c r="B5" s="53"/>
      <c r="C5" s="53"/>
      <c r="D5" s="53"/>
      <c r="E5" s="53"/>
      <c r="F5" s="53"/>
      <c r="G5" s="53"/>
      <c r="H5" s="53"/>
      <c r="I5" s="53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16.5" customHeight="1" x14ac:dyDescent="0.3">
      <c r="A6" s="54" t="str" cm="1">
        <f t="array" ref="A6">INDEX(DATA!$1:$1048576,$K$1+2,3)</f>
        <v>emc 230202 - 012 - Sa</v>
      </c>
      <c r="B6" s="54"/>
      <c r="C6" s="54"/>
      <c r="D6" s="54"/>
      <c r="E6" s="54"/>
      <c r="F6" s="54"/>
      <c r="G6" s="54"/>
      <c r="H6" s="54"/>
      <c r="I6" s="54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16.5" customHeight="1" x14ac:dyDescent="0.3">
      <c r="A7" s="53" t="s">
        <v>3</v>
      </c>
      <c r="B7" s="53"/>
      <c r="C7" s="53"/>
      <c r="D7" s="53"/>
      <c r="E7" s="53"/>
      <c r="F7" s="53"/>
      <c r="G7" s="53"/>
      <c r="H7" s="53"/>
      <c r="I7" s="53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16.5" customHeight="1" x14ac:dyDescent="0.3">
      <c r="A8" s="53" t="s">
        <v>4</v>
      </c>
      <c r="B8" s="53"/>
      <c r="C8" s="53"/>
      <c r="D8" s="53"/>
      <c r="E8" s="53"/>
      <c r="F8" s="53"/>
      <c r="G8" s="53"/>
      <c r="H8" s="53"/>
      <c r="I8" s="53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x14ac:dyDescent="0.3">
      <c r="A9" s="62" t="s">
        <v>5</v>
      </c>
      <c r="B9" s="62"/>
      <c r="C9" s="62"/>
      <c r="D9" s="62"/>
      <c r="E9" s="62"/>
      <c r="F9" s="62"/>
      <c r="G9" s="62"/>
      <c r="H9" s="62"/>
      <c r="I9" s="62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16.5" customHeight="1" x14ac:dyDescent="0.3">
      <c r="A10" s="53" t="s">
        <v>6</v>
      </c>
      <c r="B10" s="53"/>
      <c r="C10" s="53"/>
      <c r="D10" s="53"/>
      <c r="E10" s="53"/>
      <c r="F10" s="53"/>
      <c r="G10" s="53"/>
      <c r="H10" s="53"/>
      <c r="I10" s="53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16.5" customHeight="1" x14ac:dyDescent="0.3">
      <c r="A11" s="62" t="s">
        <v>7</v>
      </c>
      <c r="B11" s="62"/>
      <c r="C11" s="62"/>
      <c r="D11" s="62"/>
      <c r="E11" s="62"/>
      <c r="F11" s="62"/>
      <c r="G11" s="62"/>
      <c r="H11" s="62"/>
      <c r="I11" s="62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16.5" customHeight="1" x14ac:dyDescent="0.3">
      <c r="A12" s="53" t="s">
        <v>38</v>
      </c>
      <c r="B12" s="53"/>
      <c r="C12" s="53"/>
      <c r="D12" s="53"/>
      <c r="E12" s="53"/>
      <c r="F12" s="53"/>
      <c r="G12" s="53"/>
      <c r="H12" s="53"/>
      <c r="I12" s="53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16.5" customHeight="1" x14ac:dyDescent="0.3">
      <c r="A13" s="54" t="str" cm="1">
        <f t="array" ref="A13">INDEX(DATA!$1:$1048576,$K$1+2,4)</f>
        <v>Effluent</v>
      </c>
      <c r="B13" s="54"/>
      <c r="C13" s="54"/>
      <c r="D13" s="54"/>
      <c r="E13" s="54"/>
      <c r="F13" s="54"/>
      <c r="G13" s="54"/>
      <c r="H13" s="54"/>
      <c r="I13" s="54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16.5" customHeight="1" x14ac:dyDescent="0.3">
      <c r="A14" s="53" t="s">
        <v>9</v>
      </c>
      <c r="B14" s="53"/>
      <c r="C14" s="53"/>
      <c r="D14" s="53"/>
      <c r="E14" s="53"/>
      <c r="F14" s="53"/>
      <c r="G14" s="53"/>
      <c r="H14" s="53"/>
      <c r="I14" s="53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x14ac:dyDescent="0.3">
      <c r="A15" s="62" t="s">
        <v>10</v>
      </c>
      <c r="B15" s="62"/>
      <c r="C15" s="62"/>
      <c r="D15" s="62"/>
      <c r="E15" s="62"/>
      <c r="F15" s="62"/>
      <c r="G15" s="62"/>
      <c r="H15" s="62"/>
      <c r="I15" s="62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16.5" customHeight="1" x14ac:dyDescent="0.3">
      <c r="A16" s="53" t="s">
        <v>11</v>
      </c>
      <c r="B16" s="53"/>
      <c r="C16" s="53"/>
      <c r="D16" s="53"/>
      <c r="E16" s="53"/>
      <c r="F16" s="53"/>
      <c r="G16" s="53"/>
      <c r="H16" s="53"/>
      <c r="I16" s="53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x14ac:dyDescent="0.3">
      <c r="A17" s="8">
        <v>20</v>
      </c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16.5" customHeight="1" x14ac:dyDescent="0.3">
      <c r="A18" s="53" t="s">
        <v>12</v>
      </c>
      <c r="B18" s="53"/>
      <c r="C18" s="53"/>
      <c r="D18" s="53"/>
      <c r="E18" s="53"/>
      <c r="F18" s="53"/>
      <c r="G18" s="53"/>
      <c r="H18" s="53"/>
      <c r="I18" s="53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x14ac:dyDescent="0.3">
      <c r="A19" s="8">
        <v>0</v>
      </c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16.5" customHeight="1" x14ac:dyDescent="0.3">
      <c r="A20" s="53" t="s">
        <v>13</v>
      </c>
      <c r="B20" s="53"/>
      <c r="C20" s="53"/>
      <c r="D20" s="53"/>
      <c r="E20" s="53"/>
      <c r="F20" s="53"/>
      <c r="G20" s="53"/>
      <c r="H20" s="53"/>
      <c r="I20" s="53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16.5" customHeight="1" x14ac:dyDescent="0.3">
      <c r="A21" s="53" t="s">
        <v>14</v>
      </c>
      <c r="B21" s="53"/>
      <c r="C21" s="53"/>
      <c r="D21" s="53"/>
      <c r="E21" s="53"/>
      <c r="F21" s="53"/>
      <c r="G21" s="53"/>
      <c r="H21" s="53"/>
      <c r="I21" s="53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x14ac:dyDescent="0.3">
      <c r="A22" s="8">
        <v>5</v>
      </c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16.5" customHeight="1" x14ac:dyDescent="0.3">
      <c r="A23" s="53" t="s">
        <v>15</v>
      </c>
      <c r="B23" s="53"/>
      <c r="C23" s="53"/>
      <c r="D23" s="53"/>
      <c r="E23" s="53"/>
      <c r="F23" s="53"/>
      <c r="G23" s="53"/>
      <c r="H23" s="53"/>
      <c r="I23" s="53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x14ac:dyDescent="0.3">
      <c r="A24" s="15">
        <v>6.25</v>
      </c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x14ac:dyDescent="0.3">
      <c r="A25" s="15">
        <v>12.5</v>
      </c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x14ac:dyDescent="0.3">
      <c r="A26" s="14">
        <v>25</v>
      </c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 x14ac:dyDescent="0.3">
      <c r="A27" s="14">
        <v>50</v>
      </c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 x14ac:dyDescent="0.3">
      <c r="A28" s="14">
        <v>100</v>
      </c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 ht="16.5" customHeight="1" x14ac:dyDescent="0.3">
      <c r="A29" s="53" t="s">
        <v>16</v>
      </c>
      <c r="B29" s="53"/>
      <c r="C29" s="53"/>
      <c r="D29" s="53"/>
      <c r="E29" s="53"/>
      <c r="F29" s="53"/>
      <c r="G29" s="53"/>
      <c r="H29" s="53"/>
      <c r="I29" s="53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 x14ac:dyDescent="0.3">
      <c r="A30" s="62" t="s">
        <v>17</v>
      </c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</row>
    <row r="31" spans="1:26" ht="16.5" customHeight="1" x14ac:dyDescent="0.3">
      <c r="A31" s="53" t="s">
        <v>18</v>
      </c>
      <c r="B31" s="53"/>
      <c r="C31" s="53"/>
      <c r="D31" s="53"/>
      <c r="E31" s="53"/>
      <c r="F31" s="53"/>
      <c r="G31" s="53"/>
      <c r="H31" s="53"/>
      <c r="I31" s="53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 x14ac:dyDescent="0.3">
      <c r="A32" s="8">
        <v>20</v>
      </c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 ht="16.5" customHeight="1" x14ac:dyDescent="0.3">
      <c r="A33" s="53" t="s">
        <v>19</v>
      </c>
      <c r="B33" s="53"/>
      <c r="C33" s="53"/>
      <c r="D33" s="53"/>
      <c r="E33" s="53"/>
      <c r="F33" s="53"/>
      <c r="G33" s="53"/>
      <c r="H33" s="53"/>
      <c r="I33" s="53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 ht="16.5" customHeight="1" x14ac:dyDescent="0.3">
      <c r="A34" s="53" t="s">
        <v>20</v>
      </c>
      <c r="B34" s="53"/>
      <c r="C34" s="53"/>
      <c r="D34" s="53"/>
      <c r="E34" s="53"/>
      <c r="F34" s="53"/>
      <c r="G34" s="53"/>
      <c r="H34" s="53"/>
      <c r="I34" s="53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 x14ac:dyDescent="0.3">
      <c r="A35" s="62" t="s">
        <v>21</v>
      </c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</row>
    <row r="36" spans="1:26" ht="16.5" customHeight="1" x14ac:dyDescent="0.3">
      <c r="A36" s="53" t="s">
        <v>22</v>
      </c>
      <c r="B36" s="53"/>
      <c r="C36" s="53"/>
      <c r="D36" s="53"/>
      <c r="E36" s="53"/>
      <c r="F36" s="53"/>
      <c r="G36" s="53"/>
      <c r="H36" s="53"/>
      <c r="I36" s="53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 x14ac:dyDescent="0.3">
      <c r="A37" s="8">
        <v>24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 ht="16.5" customHeight="1" x14ac:dyDescent="0.3">
      <c r="A38" s="53" t="s">
        <v>23</v>
      </c>
      <c r="B38" s="53"/>
      <c r="C38" s="53"/>
      <c r="D38" s="53"/>
      <c r="E38" s="53"/>
      <c r="F38" s="53"/>
      <c r="G38" s="53"/>
      <c r="H38" s="53"/>
      <c r="I38" s="53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 x14ac:dyDescent="0.3">
      <c r="A39" s="9" cm="1">
        <f t="array" ref="A39">INDEX(DATA!$1:$1048576,$K$1+2,5)</f>
        <v>0</v>
      </c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 x14ac:dyDescent="0.3">
      <c r="A40" s="9" cm="1">
        <f t="array" ref="A40">INDEX(DATA!$1:$1048576,$K$1+2,6)</f>
        <v>0</v>
      </c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 x14ac:dyDescent="0.3">
      <c r="A41" s="9" cm="1">
        <f t="array" ref="A41">INDEX(DATA!$1:$1048576,$K$1+2,7)</f>
        <v>0</v>
      </c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 x14ac:dyDescent="0.3">
      <c r="A42" s="9" cm="1">
        <f t="array" ref="A42">INDEX(DATA!$1:$1048576,$K$1+2,8)</f>
        <v>0</v>
      </c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 x14ac:dyDescent="0.3">
      <c r="A43" s="9" cm="1">
        <f t="array" ref="A43">INDEX(DATA!$1:$1048576,$K$1+2,9)</f>
        <v>19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 ht="16.5" customHeight="1" x14ac:dyDescent="0.3">
      <c r="A44" s="53" t="s">
        <v>24</v>
      </c>
      <c r="B44" s="53"/>
      <c r="C44" s="53"/>
      <c r="D44" s="53"/>
      <c r="E44" s="53"/>
      <c r="F44" s="53"/>
      <c r="G44" s="53"/>
      <c r="H44" s="53"/>
      <c r="I44" s="53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 x14ac:dyDescent="0.3">
      <c r="A45" s="62" t="s">
        <v>17</v>
      </c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</row>
    <row r="46" spans="1:26" x14ac:dyDescent="0.3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 ht="16.5" customHeight="1" x14ac:dyDescent="0.3">
      <c r="A47" s="5" t="s">
        <v>33</v>
      </c>
      <c r="B47" s="26" cm="1">
        <f t="array" ref="B47">INDEX(DATA!$1:$1048576,$K$1+2,2)</f>
        <v>44959</v>
      </c>
      <c r="C47" s="56" t="s">
        <v>37</v>
      </c>
      <c r="D47" s="56"/>
      <c r="E47" s="54" t="str" cm="1">
        <f t="array" ref="E47">INDEX(DATA!$1:$1048576,$K$1+2,3)</f>
        <v>emc 230202 - 012 - Sa</v>
      </c>
      <c r="F47" s="54"/>
      <c r="G47" s="27" t="s">
        <v>34</v>
      </c>
      <c r="H47" s="11" t="s">
        <v>32</v>
      </c>
      <c r="I47" s="1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 ht="16.5" customHeight="1" x14ac:dyDescent="0.3">
      <c r="A48" s="1" t="s">
        <v>36</v>
      </c>
      <c r="B48" s="7" t="str" cm="1">
        <f t="array" ref="B48">INDEX(DATA!$1:$1048576,$K$1+2,4)</f>
        <v>Effluent</v>
      </c>
      <c r="C48" s="1"/>
      <c r="D48" s="1"/>
      <c r="E48" s="1"/>
      <c r="F48" s="1"/>
      <c r="G48" s="1"/>
      <c r="H48" s="1"/>
      <c r="I48" s="1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 ht="16.5" customHeight="1" x14ac:dyDescent="0.3">
      <c r="A49" s="53" t="s">
        <v>42</v>
      </c>
      <c r="B49" s="53"/>
      <c r="C49" s="53"/>
      <c r="D49" s="53"/>
      <c r="E49" s="53"/>
      <c r="F49" s="53"/>
      <c r="G49" s="53"/>
      <c r="H49" s="53"/>
      <c r="I49" s="53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 x14ac:dyDescent="0.3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 ht="16.5" customHeight="1" x14ac:dyDescent="0.3">
      <c r="A51" s="53" t="s">
        <v>25</v>
      </c>
      <c r="B51" s="53"/>
      <c r="C51" s="53"/>
      <c r="D51" s="53"/>
      <c r="E51" s="53"/>
      <c r="F51" s="53"/>
      <c r="G51" s="53"/>
      <c r="H51" s="53"/>
      <c r="I51" s="53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 ht="26.25" customHeight="1" x14ac:dyDescent="0.3">
      <c r="A52" s="61" t="s">
        <v>26</v>
      </c>
      <c r="B52" s="61"/>
      <c r="C52" s="61"/>
      <c r="D52" s="61"/>
      <c r="E52" s="61"/>
      <c r="F52" s="61"/>
      <c r="G52" s="61"/>
      <c r="H52" s="61"/>
      <c r="I52" s="61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 ht="16.5" customHeight="1" x14ac:dyDescent="0.3">
      <c r="A53" s="52">
        <v>0</v>
      </c>
      <c r="B53" s="52"/>
      <c r="C53" s="12">
        <v>20</v>
      </c>
      <c r="D53" s="13">
        <v>0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6.5" customHeight="1" x14ac:dyDescent="0.3">
      <c r="A54" s="52">
        <v>6.25</v>
      </c>
      <c r="B54" s="52"/>
      <c r="C54" s="12">
        <v>20</v>
      </c>
      <c r="D54" s="13" cm="1">
        <f t="array" ref="D54">INDEX(DATA!$1:$1048576,$K$1+2,5)</f>
        <v>0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6.5" customHeight="1" x14ac:dyDescent="0.3">
      <c r="A55" s="52">
        <v>12.5</v>
      </c>
      <c r="B55" s="52"/>
      <c r="C55" s="12">
        <v>20</v>
      </c>
      <c r="D55" s="13" cm="1">
        <f t="array" ref="D55">INDEX(DATA!$1:$1048576,$K$1+2,6)</f>
        <v>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6.5" customHeight="1" x14ac:dyDescent="0.3">
      <c r="A56" s="52" t="s">
        <v>39</v>
      </c>
      <c r="B56" s="52"/>
      <c r="C56" s="12">
        <v>20</v>
      </c>
      <c r="D56" s="13" cm="1">
        <f t="array" ref="D56">INDEX(DATA!$1:$1048576,$K$1+2,7)</f>
        <v>0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6.5" customHeight="1" x14ac:dyDescent="0.3">
      <c r="A57" s="52">
        <v>50</v>
      </c>
      <c r="B57" s="52"/>
      <c r="C57" s="12">
        <v>20</v>
      </c>
      <c r="D57" s="13" cm="1">
        <f t="array" ref="D57">INDEX(DATA!$1:$1048576,$K$1+2,8)</f>
        <v>0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6.5" customHeight="1" x14ac:dyDescent="0.3">
      <c r="A58" s="52" t="s">
        <v>40</v>
      </c>
      <c r="B58" s="52"/>
      <c r="C58" s="12">
        <v>20</v>
      </c>
      <c r="D58" s="13" cm="1">
        <f t="array" ref="D58">INDEX(DATA!$1:$1048576,$K$1+2,9)</f>
        <v>19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3">
      <c r="C59" s="3"/>
      <c r="D59" s="3"/>
    </row>
    <row r="60" spans="1:26" ht="16.5" customHeight="1" x14ac:dyDescent="0.3">
      <c r="A60" s="53" t="s">
        <v>41</v>
      </c>
      <c r="B60" s="53"/>
      <c r="C60" s="53"/>
      <c r="D60" s="44">
        <f>INDEX(DATA!$1:$1048576,$K$1+2,10)</f>
        <v>5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2" spans="1:26" ht="16.5" customHeight="1" x14ac:dyDescent="0.3">
      <c r="A62" s="54" t="s">
        <v>35</v>
      </c>
      <c r="B62" s="54"/>
      <c r="C62" s="54"/>
      <c r="D62" s="54"/>
      <c r="E62" s="28" cm="1">
        <f t="array" ref="E62">INDEX(DATA!$1:$1048576,$K$1+2,11)</f>
        <v>72.010000000000005</v>
      </c>
      <c r="F62" s="7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6.5" customHeight="1" x14ac:dyDescent="0.3">
      <c r="A63" s="55" t="s">
        <v>43</v>
      </c>
      <c r="B63" s="55"/>
      <c r="C63" s="55"/>
      <c r="D63" s="55"/>
      <c r="E63" s="29" t="str" cm="1">
        <f t="array" ref="E63">INDEX(DATA!$1:$1048576,$K$1+2,12)</f>
        <v>95% CONFODENCE LIMITS ARE NOT RELIABLE.</v>
      </c>
      <c r="F63" s="4"/>
      <c r="G63" s="4"/>
      <c r="H63" s="4"/>
      <c r="I63" s="4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6.5" customHeight="1" x14ac:dyDescent="0.3">
      <c r="A64" s="51" t="s">
        <v>44</v>
      </c>
      <c r="B64" s="51"/>
      <c r="C64" s="51"/>
      <c r="D64" s="51"/>
      <c r="E64" s="29" cm="1">
        <f t="array" ref="E64">INDEX(DATA!$1:$1048576,$K$1+2,13)</f>
        <v>0</v>
      </c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3">
      <c r="A65" s="59" t="s">
        <v>27</v>
      </c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  <c r="N65" s="60"/>
      <c r="O65" s="60"/>
      <c r="P65" s="60"/>
      <c r="Q65" s="60"/>
      <c r="R65" s="60"/>
      <c r="S65" s="60"/>
      <c r="T65" s="60"/>
      <c r="U65" s="60"/>
      <c r="V65" s="60"/>
      <c r="W65" s="60"/>
      <c r="X65" s="60"/>
      <c r="Y65" s="60"/>
      <c r="Z65" s="60"/>
    </row>
    <row r="66" spans="1:26" ht="16.5" customHeight="1" x14ac:dyDescent="0.3">
      <c r="A66" s="53" t="s">
        <v>28</v>
      </c>
      <c r="B66" s="53"/>
      <c r="C66" s="53"/>
      <c r="D66" s="53"/>
      <c r="E66" s="53"/>
      <c r="F66" s="53"/>
      <c r="G66" s="53"/>
      <c r="H66" s="53"/>
      <c r="I66" s="53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3">
      <c r="A67" s="53" t="s">
        <v>17</v>
      </c>
      <c r="B67" s="53"/>
      <c r="C67" s="53"/>
      <c r="D67" s="53"/>
      <c r="E67" s="53"/>
      <c r="F67" s="53"/>
      <c r="G67" s="53"/>
      <c r="H67" s="53"/>
      <c r="I67" s="53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6.5" customHeight="1" x14ac:dyDescent="0.3">
      <c r="A68" s="53" t="s">
        <v>29</v>
      </c>
      <c r="B68" s="53"/>
      <c r="C68" s="53"/>
      <c r="D68" s="53"/>
      <c r="E68" s="53"/>
      <c r="F68" s="53"/>
      <c r="G68" s="53"/>
      <c r="H68" s="53"/>
      <c r="I68" s="53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3">
      <c r="A69" s="53" t="s">
        <v>30</v>
      </c>
      <c r="B69" s="53"/>
      <c r="C69" s="53"/>
      <c r="D69" s="53"/>
      <c r="E69" s="53"/>
      <c r="F69" s="53"/>
      <c r="G69" s="53"/>
      <c r="H69" s="53"/>
      <c r="I69" s="53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1" spans="1:26" ht="16.5" customHeight="1" x14ac:dyDescent="0.3">
      <c r="A71" s="53" t="s">
        <v>31</v>
      </c>
      <c r="B71" s="53"/>
      <c r="C71" s="53"/>
      <c r="D71" s="53"/>
      <c r="E71" s="53"/>
      <c r="F71" s="53"/>
      <c r="G71" s="53"/>
      <c r="H71" s="53"/>
      <c r="I71" s="53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</sheetData>
  <mergeCells count="51">
    <mergeCell ref="A20:I20"/>
    <mergeCell ref="A21:I21"/>
    <mergeCell ref="A8:I8"/>
    <mergeCell ref="A9:I9"/>
    <mergeCell ref="A10:I10"/>
    <mergeCell ref="A11:I11"/>
    <mergeCell ref="A18:I18"/>
    <mergeCell ref="A15:I15"/>
    <mergeCell ref="A16:I16"/>
    <mergeCell ref="A30:Z30"/>
    <mergeCell ref="A23:I23"/>
    <mergeCell ref="A29:I29"/>
    <mergeCell ref="A31:I31"/>
    <mergeCell ref="A33:I33"/>
    <mergeCell ref="A49:I49"/>
    <mergeCell ref="A51:I51"/>
    <mergeCell ref="A52:I52"/>
    <mergeCell ref="A35:Z35"/>
    <mergeCell ref="A45:Z45"/>
    <mergeCell ref="A71:I71"/>
    <mergeCell ref="A69:I69"/>
    <mergeCell ref="A68:I68"/>
    <mergeCell ref="A65:Z65"/>
    <mergeCell ref="A67:I67"/>
    <mergeCell ref="A66:I66"/>
    <mergeCell ref="A1:I1"/>
    <mergeCell ref="A2:I2"/>
    <mergeCell ref="A3:I3"/>
    <mergeCell ref="A4:I4"/>
    <mergeCell ref="A5:I5"/>
    <mergeCell ref="A6:I6"/>
    <mergeCell ref="A7:I7"/>
    <mergeCell ref="A12:I12"/>
    <mergeCell ref="A13:I13"/>
    <mergeCell ref="A14:I14"/>
    <mergeCell ref="A34:I34"/>
    <mergeCell ref="A36:I36"/>
    <mergeCell ref="A38:I38"/>
    <mergeCell ref="A44:I44"/>
    <mergeCell ref="C47:D47"/>
    <mergeCell ref="E47:F47"/>
    <mergeCell ref="A64:D64"/>
    <mergeCell ref="A53:B53"/>
    <mergeCell ref="A54:B54"/>
    <mergeCell ref="A55:B55"/>
    <mergeCell ref="A56:B56"/>
    <mergeCell ref="A57:B57"/>
    <mergeCell ref="A58:B58"/>
    <mergeCell ref="A60:C60"/>
    <mergeCell ref="A62:D62"/>
    <mergeCell ref="A63:D63"/>
  </mergeCells>
  <phoneticPr fontId="24" type="noConversion"/>
  <pageMargins left="0.75" right="0.75" top="1" bottom="1" header="0.5" footer="0.5"/>
  <pageSetup paperSize="9" scale="88" orientation="portrait" r:id="rId1"/>
  <rowBreaks count="1" manualBreakCount="1">
    <brk id="45" max="8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autoPict="0">
                <anchor moveWithCells="1" sizeWithCells="1">
                  <from>
                    <xdr:col>10</xdr:col>
                    <xdr:colOff>504825</xdr:colOff>
                    <xdr:row>0</xdr:row>
                    <xdr:rowOff>133350</xdr:rowOff>
                  </from>
                  <to>
                    <xdr:col>11</xdr:col>
                    <xdr:colOff>504825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68997-592B-44F9-84A8-3C72EE45AA2C}">
  <dimension ref="A1:Z71"/>
  <sheetViews>
    <sheetView showGridLines="0" view="pageBreakPreview" topLeftCell="A46" zoomScaleNormal="100" zoomScaleSheetLayoutView="100" workbookViewId="0">
      <selection activeCell="A10" sqref="A10:I10"/>
    </sheetView>
  </sheetViews>
  <sheetFormatPr defaultRowHeight="16.5" x14ac:dyDescent="0.3"/>
  <cols>
    <col min="1" max="1" width="11.125" style="39" bestFit="1" customWidth="1"/>
    <col min="2" max="2" width="9.25" style="39" bestFit="1" customWidth="1"/>
    <col min="3" max="5" width="9" style="39"/>
    <col min="6" max="6" width="13.5" style="39" customWidth="1"/>
    <col min="7" max="7" width="10.875" style="39" bestFit="1" customWidth="1"/>
    <col min="8" max="16384" width="9" style="39"/>
  </cols>
  <sheetData>
    <row r="1" spans="1:26" ht="16.5" customHeight="1" x14ac:dyDescent="0.3">
      <c r="A1" s="53" t="s">
        <v>0</v>
      </c>
      <c r="B1" s="53"/>
      <c r="C1" s="53"/>
      <c r="D1" s="53"/>
      <c r="E1" s="53"/>
      <c r="F1" s="53"/>
      <c r="G1" s="53"/>
      <c r="H1" s="53"/>
      <c r="I1" s="53"/>
      <c r="J1" s="36"/>
      <c r="K1" s="36">
        <v>2</v>
      </c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</row>
    <row r="2" spans="1:26" x14ac:dyDescent="0.3">
      <c r="A2" s="57"/>
      <c r="B2" s="57"/>
      <c r="C2" s="57"/>
      <c r="D2" s="57"/>
      <c r="E2" s="57"/>
      <c r="F2" s="57"/>
      <c r="G2" s="57"/>
      <c r="H2" s="57"/>
      <c r="I2" s="5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</row>
    <row r="3" spans="1:26" ht="16.5" customHeight="1" x14ac:dyDescent="0.3">
      <c r="A3" s="53" t="s">
        <v>1</v>
      </c>
      <c r="B3" s="53"/>
      <c r="C3" s="53"/>
      <c r="D3" s="53"/>
      <c r="E3" s="53"/>
      <c r="F3" s="53"/>
      <c r="G3" s="53"/>
      <c r="H3" s="53"/>
      <c r="I3" s="53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</row>
    <row r="4" spans="1:26" ht="16.5" customHeight="1" x14ac:dyDescent="0.3">
      <c r="A4" s="58" cm="1">
        <f t="array" ref="A4">INDEX(DATA!$1:$1048576,$K$1+2,2)</f>
        <v>45791</v>
      </c>
      <c r="B4" s="58"/>
      <c r="C4" s="58"/>
      <c r="D4" s="58"/>
      <c r="E4" s="58"/>
      <c r="F4" s="58"/>
      <c r="G4" s="58"/>
      <c r="H4" s="58"/>
      <c r="I4" s="58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</row>
    <row r="5" spans="1:26" ht="16.5" customHeight="1" x14ac:dyDescent="0.3">
      <c r="A5" s="53" t="s">
        <v>2</v>
      </c>
      <c r="B5" s="53"/>
      <c r="C5" s="53"/>
      <c r="D5" s="53"/>
      <c r="E5" s="53"/>
      <c r="F5" s="53"/>
      <c r="G5" s="53"/>
      <c r="H5" s="53"/>
      <c r="I5" s="53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</row>
    <row r="6" spans="1:26" ht="16.5" customHeight="1" x14ac:dyDescent="0.3">
      <c r="A6" s="54" t="str" cm="1">
        <f t="array" ref="A6">INDEX(DATA!$1:$1048576,$K$1+2,3)</f>
        <v xml:space="preserve">  renewus 250514 - 015 - A</v>
      </c>
      <c r="B6" s="54"/>
      <c r="C6" s="54"/>
      <c r="D6" s="54"/>
      <c r="E6" s="54"/>
      <c r="F6" s="54"/>
      <c r="G6" s="54"/>
      <c r="H6" s="54"/>
      <c r="I6" s="54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</row>
    <row r="7" spans="1:26" ht="16.5" customHeight="1" x14ac:dyDescent="0.3">
      <c r="A7" s="53" t="s">
        <v>3</v>
      </c>
      <c r="B7" s="53"/>
      <c r="C7" s="53"/>
      <c r="D7" s="53"/>
      <c r="E7" s="53"/>
      <c r="F7" s="53"/>
      <c r="G7" s="53"/>
      <c r="H7" s="53"/>
      <c r="I7" s="53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</row>
    <row r="8" spans="1:26" ht="16.5" customHeight="1" x14ac:dyDescent="0.3">
      <c r="A8" s="53" t="s">
        <v>4</v>
      </c>
      <c r="B8" s="53"/>
      <c r="C8" s="53"/>
      <c r="D8" s="53"/>
      <c r="E8" s="53"/>
      <c r="F8" s="53"/>
      <c r="G8" s="53"/>
      <c r="H8" s="53"/>
      <c r="I8" s="53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</row>
    <row r="9" spans="1:26" x14ac:dyDescent="0.3">
      <c r="A9" s="62" t="s">
        <v>5</v>
      </c>
      <c r="B9" s="62"/>
      <c r="C9" s="62"/>
      <c r="D9" s="62"/>
      <c r="E9" s="62"/>
      <c r="F9" s="62"/>
      <c r="G9" s="62"/>
      <c r="H9" s="62"/>
      <c r="I9" s="62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</row>
    <row r="10" spans="1:26" ht="16.5" customHeight="1" x14ac:dyDescent="0.3">
      <c r="A10" s="53" t="s">
        <v>6</v>
      </c>
      <c r="B10" s="53"/>
      <c r="C10" s="53"/>
      <c r="D10" s="53"/>
      <c r="E10" s="53"/>
      <c r="F10" s="53"/>
      <c r="G10" s="53"/>
      <c r="H10" s="53"/>
      <c r="I10" s="53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</row>
    <row r="11" spans="1:26" ht="16.5" customHeight="1" x14ac:dyDescent="0.3">
      <c r="A11" s="62" t="s">
        <v>7</v>
      </c>
      <c r="B11" s="62"/>
      <c r="C11" s="62"/>
      <c r="D11" s="62"/>
      <c r="E11" s="62"/>
      <c r="F11" s="62"/>
      <c r="G11" s="62"/>
      <c r="H11" s="62"/>
      <c r="I11" s="62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</row>
    <row r="12" spans="1:26" ht="16.5" customHeight="1" x14ac:dyDescent="0.3">
      <c r="A12" s="53" t="s">
        <v>38</v>
      </c>
      <c r="B12" s="53"/>
      <c r="C12" s="53"/>
      <c r="D12" s="53"/>
      <c r="E12" s="53"/>
      <c r="F12" s="53"/>
      <c r="G12" s="53"/>
      <c r="H12" s="53"/>
      <c r="I12" s="53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</row>
    <row r="13" spans="1:26" ht="16.5" customHeight="1" x14ac:dyDescent="0.3">
      <c r="A13" s="54" t="str" cm="1">
        <f t="array" ref="A13">INDEX(DATA!$1:$1048576,$K$1+2,4)</f>
        <v>Effluent</v>
      </c>
      <c r="B13" s="54"/>
      <c r="C13" s="54"/>
      <c r="D13" s="54"/>
      <c r="E13" s="54"/>
      <c r="F13" s="54"/>
      <c r="G13" s="54"/>
      <c r="H13" s="54"/>
      <c r="I13" s="54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</row>
    <row r="14" spans="1:26" ht="16.5" customHeight="1" x14ac:dyDescent="0.3">
      <c r="A14" s="53" t="s">
        <v>9</v>
      </c>
      <c r="B14" s="53"/>
      <c r="C14" s="53"/>
      <c r="D14" s="53"/>
      <c r="E14" s="53"/>
      <c r="F14" s="53"/>
      <c r="G14" s="53"/>
      <c r="H14" s="53"/>
      <c r="I14" s="53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</row>
    <row r="15" spans="1:26" x14ac:dyDescent="0.3">
      <c r="A15" s="62" t="s">
        <v>10</v>
      </c>
      <c r="B15" s="62"/>
      <c r="C15" s="62"/>
      <c r="D15" s="62"/>
      <c r="E15" s="62"/>
      <c r="F15" s="62"/>
      <c r="G15" s="62"/>
      <c r="H15" s="62"/>
      <c r="I15" s="62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</row>
    <row r="16" spans="1:26" ht="16.5" customHeight="1" x14ac:dyDescent="0.3">
      <c r="A16" s="53" t="s">
        <v>11</v>
      </c>
      <c r="B16" s="53"/>
      <c r="C16" s="53"/>
      <c r="D16" s="53"/>
      <c r="E16" s="53"/>
      <c r="F16" s="53"/>
      <c r="G16" s="53"/>
      <c r="H16" s="53"/>
      <c r="I16" s="53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</row>
    <row r="17" spans="1:26" x14ac:dyDescent="0.3">
      <c r="A17" s="8">
        <v>20</v>
      </c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</row>
    <row r="18" spans="1:26" ht="16.5" customHeight="1" x14ac:dyDescent="0.3">
      <c r="A18" s="53" t="s">
        <v>12</v>
      </c>
      <c r="B18" s="53"/>
      <c r="C18" s="53"/>
      <c r="D18" s="53"/>
      <c r="E18" s="53"/>
      <c r="F18" s="53"/>
      <c r="G18" s="53"/>
      <c r="H18" s="53"/>
      <c r="I18" s="53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</row>
    <row r="19" spans="1:26" x14ac:dyDescent="0.3">
      <c r="A19" s="8">
        <v>0</v>
      </c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</row>
    <row r="20" spans="1:26" ht="16.5" customHeight="1" x14ac:dyDescent="0.3">
      <c r="A20" s="53" t="s">
        <v>13</v>
      </c>
      <c r="B20" s="53"/>
      <c r="C20" s="53"/>
      <c r="D20" s="53"/>
      <c r="E20" s="53"/>
      <c r="F20" s="53"/>
      <c r="G20" s="53"/>
      <c r="H20" s="53"/>
      <c r="I20" s="53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</row>
    <row r="21" spans="1:26" ht="16.5" customHeight="1" x14ac:dyDescent="0.3">
      <c r="A21" s="53" t="s">
        <v>14</v>
      </c>
      <c r="B21" s="53"/>
      <c r="C21" s="53"/>
      <c r="D21" s="53"/>
      <c r="E21" s="53"/>
      <c r="F21" s="53"/>
      <c r="G21" s="53"/>
      <c r="H21" s="53"/>
      <c r="I21" s="53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</row>
    <row r="22" spans="1:26" x14ac:dyDescent="0.3">
      <c r="A22" s="8">
        <v>5</v>
      </c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</row>
    <row r="23" spans="1:26" ht="16.5" customHeight="1" x14ac:dyDescent="0.3">
      <c r="A23" s="53" t="s">
        <v>15</v>
      </c>
      <c r="B23" s="53"/>
      <c r="C23" s="53"/>
      <c r="D23" s="53"/>
      <c r="E23" s="53"/>
      <c r="F23" s="53"/>
      <c r="G23" s="53"/>
      <c r="H23" s="53"/>
      <c r="I23" s="53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</row>
    <row r="24" spans="1:26" x14ac:dyDescent="0.3">
      <c r="A24" s="15">
        <v>6.25</v>
      </c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</row>
    <row r="25" spans="1:26" x14ac:dyDescent="0.3">
      <c r="A25" s="15">
        <v>12.5</v>
      </c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</row>
    <row r="26" spans="1:26" x14ac:dyDescent="0.3">
      <c r="A26" s="14">
        <v>25</v>
      </c>
      <c r="B26" s="37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</row>
    <row r="27" spans="1:26" x14ac:dyDescent="0.3">
      <c r="A27" s="14">
        <v>50</v>
      </c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</row>
    <row r="28" spans="1:26" x14ac:dyDescent="0.3">
      <c r="A28" s="14">
        <v>100</v>
      </c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</row>
    <row r="29" spans="1:26" ht="16.5" customHeight="1" x14ac:dyDescent="0.3">
      <c r="A29" s="53" t="s">
        <v>16</v>
      </c>
      <c r="B29" s="53"/>
      <c r="C29" s="53"/>
      <c r="D29" s="53"/>
      <c r="E29" s="53"/>
      <c r="F29" s="53"/>
      <c r="G29" s="53"/>
      <c r="H29" s="53"/>
      <c r="I29" s="53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</row>
    <row r="30" spans="1:26" x14ac:dyDescent="0.3">
      <c r="A30" s="62" t="s">
        <v>17</v>
      </c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</row>
    <row r="31" spans="1:26" ht="16.5" customHeight="1" x14ac:dyDescent="0.3">
      <c r="A31" s="53" t="s">
        <v>18</v>
      </c>
      <c r="B31" s="53"/>
      <c r="C31" s="53"/>
      <c r="D31" s="53"/>
      <c r="E31" s="53"/>
      <c r="F31" s="53"/>
      <c r="G31" s="53"/>
      <c r="H31" s="53"/>
      <c r="I31" s="53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</row>
    <row r="32" spans="1:26" x14ac:dyDescent="0.3">
      <c r="A32" s="8">
        <v>20</v>
      </c>
      <c r="B32" s="3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</row>
    <row r="33" spans="1:26" ht="16.5" customHeight="1" x14ac:dyDescent="0.3">
      <c r="A33" s="53" t="s">
        <v>19</v>
      </c>
      <c r="B33" s="53"/>
      <c r="C33" s="53"/>
      <c r="D33" s="53"/>
      <c r="E33" s="53"/>
      <c r="F33" s="53"/>
      <c r="G33" s="53"/>
      <c r="H33" s="53"/>
      <c r="I33" s="53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</row>
    <row r="34" spans="1:26" ht="16.5" customHeight="1" x14ac:dyDescent="0.3">
      <c r="A34" s="53" t="s">
        <v>20</v>
      </c>
      <c r="B34" s="53"/>
      <c r="C34" s="53"/>
      <c r="D34" s="53"/>
      <c r="E34" s="53"/>
      <c r="F34" s="53"/>
      <c r="G34" s="53"/>
      <c r="H34" s="53"/>
      <c r="I34" s="53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</row>
    <row r="35" spans="1:26" x14ac:dyDescent="0.3">
      <c r="A35" s="62" t="s">
        <v>21</v>
      </c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</row>
    <row r="36" spans="1:26" ht="16.5" customHeight="1" x14ac:dyDescent="0.3">
      <c r="A36" s="53" t="s">
        <v>22</v>
      </c>
      <c r="B36" s="53"/>
      <c r="C36" s="53"/>
      <c r="D36" s="53"/>
      <c r="E36" s="53"/>
      <c r="F36" s="53"/>
      <c r="G36" s="53"/>
      <c r="H36" s="53"/>
      <c r="I36" s="53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</row>
    <row r="37" spans="1:26" x14ac:dyDescent="0.3">
      <c r="A37" s="8">
        <v>24</v>
      </c>
      <c r="B37" s="37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</row>
    <row r="38" spans="1:26" ht="16.5" customHeight="1" x14ac:dyDescent="0.3">
      <c r="A38" s="53" t="s">
        <v>23</v>
      </c>
      <c r="B38" s="53"/>
      <c r="C38" s="53"/>
      <c r="D38" s="53"/>
      <c r="E38" s="53"/>
      <c r="F38" s="53"/>
      <c r="G38" s="53"/>
      <c r="H38" s="53"/>
      <c r="I38" s="53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</row>
    <row r="39" spans="1:26" x14ac:dyDescent="0.3">
      <c r="A39" s="9" cm="1">
        <f t="array" ref="A39">INDEX(DATA!$1:$1048576,$K$1+2,5)</f>
        <v>0</v>
      </c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</row>
    <row r="40" spans="1:26" x14ac:dyDescent="0.3">
      <c r="A40" s="9" cm="1">
        <f t="array" ref="A40">INDEX(DATA!$1:$1048576,$K$1+2,6)</f>
        <v>0</v>
      </c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</row>
    <row r="41" spans="1:26" x14ac:dyDescent="0.3">
      <c r="A41" s="9" cm="1">
        <f t="array" ref="A41">INDEX(DATA!$1:$1048576,$K$1+2,7)</f>
        <v>0</v>
      </c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</row>
    <row r="42" spans="1:26" x14ac:dyDescent="0.3">
      <c r="A42" s="9" cm="1">
        <f t="array" ref="A42">INDEX(DATA!$1:$1048576,$K$1+2,8)</f>
        <v>7</v>
      </c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</row>
    <row r="43" spans="1:26" x14ac:dyDescent="0.3">
      <c r="A43" s="9" cm="1">
        <f t="array" ref="A43">INDEX(DATA!$1:$1048576,$K$1+2,9)</f>
        <v>20</v>
      </c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</row>
    <row r="44" spans="1:26" ht="16.5" customHeight="1" x14ac:dyDescent="0.3">
      <c r="A44" s="53" t="s">
        <v>24</v>
      </c>
      <c r="B44" s="53"/>
      <c r="C44" s="53"/>
      <c r="D44" s="53"/>
      <c r="E44" s="53"/>
      <c r="F44" s="53"/>
      <c r="G44" s="53"/>
      <c r="H44" s="53"/>
      <c r="I44" s="53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</row>
    <row r="45" spans="1:26" x14ac:dyDescent="0.3">
      <c r="A45" s="62" t="s">
        <v>17</v>
      </c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</row>
    <row r="46" spans="1:26" x14ac:dyDescent="0.3">
      <c r="A46" s="37"/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</row>
    <row r="47" spans="1:26" ht="16.5" customHeight="1" x14ac:dyDescent="0.3">
      <c r="A47" s="36" t="s">
        <v>33</v>
      </c>
      <c r="B47" s="40" cm="1">
        <f t="array" ref="B47">INDEX(DATA!$1:$1048576,$K$1+2,2)</f>
        <v>45791</v>
      </c>
      <c r="C47" s="56" t="s">
        <v>37</v>
      </c>
      <c r="D47" s="56"/>
      <c r="E47" s="54" t="str" cm="1">
        <f t="array" ref="E47">INDEX(DATA!$1:$1048576,$K$1+2,3)</f>
        <v xml:space="preserve">  renewus 250514 - 015 - A</v>
      </c>
      <c r="F47" s="54"/>
      <c r="G47" s="27" t="s">
        <v>34</v>
      </c>
      <c r="H47" s="11" t="s">
        <v>32</v>
      </c>
      <c r="I47" s="1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</row>
    <row r="48" spans="1:26" ht="16.5" customHeight="1" x14ac:dyDescent="0.3">
      <c r="A48" s="1" t="s">
        <v>36</v>
      </c>
      <c r="B48" s="41" t="str" cm="1">
        <f t="array" ref="B48">INDEX(DATA!$1:$1048576,$K$1+2,4)</f>
        <v>Effluent</v>
      </c>
      <c r="C48" s="1"/>
      <c r="D48" s="1"/>
      <c r="E48" s="1"/>
      <c r="F48" s="1"/>
      <c r="G48" s="1"/>
      <c r="H48" s="1"/>
      <c r="I48" s="1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</row>
    <row r="49" spans="1:26" ht="16.5" customHeight="1" x14ac:dyDescent="0.3">
      <c r="A49" s="53" t="s">
        <v>42</v>
      </c>
      <c r="B49" s="53"/>
      <c r="C49" s="53"/>
      <c r="D49" s="53"/>
      <c r="E49" s="53"/>
      <c r="F49" s="53"/>
      <c r="G49" s="53"/>
      <c r="H49" s="53"/>
      <c r="I49" s="53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</row>
    <row r="50" spans="1:26" x14ac:dyDescent="0.3">
      <c r="A50" s="37"/>
      <c r="B50" s="37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</row>
    <row r="51" spans="1:26" ht="16.5" customHeight="1" x14ac:dyDescent="0.3">
      <c r="A51" s="53" t="s">
        <v>25</v>
      </c>
      <c r="B51" s="53"/>
      <c r="C51" s="53"/>
      <c r="D51" s="53"/>
      <c r="E51" s="53"/>
      <c r="F51" s="53"/>
      <c r="G51" s="53"/>
      <c r="H51" s="53"/>
      <c r="I51" s="53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</row>
    <row r="52" spans="1:26" ht="26.25" customHeight="1" x14ac:dyDescent="0.3">
      <c r="A52" s="61" t="s">
        <v>26</v>
      </c>
      <c r="B52" s="61"/>
      <c r="C52" s="61"/>
      <c r="D52" s="61"/>
      <c r="E52" s="61"/>
      <c r="F52" s="61"/>
      <c r="G52" s="61"/>
      <c r="H52" s="61"/>
      <c r="I52" s="61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</row>
    <row r="53" spans="1:26" ht="16.5" customHeight="1" x14ac:dyDescent="0.3">
      <c r="A53" s="52">
        <v>0</v>
      </c>
      <c r="B53" s="52"/>
      <c r="C53" s="12">
        <v>20</v>
      </c>
      <c r="D53" s="13">
        <v>0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6.5" customHeight="1" x14ac:dyDescent="0.3">
      <c r="A54" s="52">
        <v>6.25</v>
      </c>
      <c r="B54" s="52"/>
      <c r="C54" s="12">
        <v>20</v>
      </c>
      <c r="D54" s="13" cm="1">
        <f t="array" ref="D54">INDEX(DATA!$1:$1048576,$K$1+2,5)</f>
        <v>0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6.5" customHeight="1" x14ac:dyDescent="0.3">
      <c r="A55" s="52">
        <v>12.5</v>
      </c>
      <c r="B55" s="52"/>
      <c r="C55" s="12">
        <v>20</v>
      </c>
      <c r="D55" s="13" cm="1">
        <f t="array" ref="D55">INDEX(DATA!$1:$1048576,$K$1+2,6)</f>
        <v>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6.5" customHeight="1" x14ac:dyDescent="0.3">
      <c r="A56" s="52" t="s">
        <v>39</v>
      </c>
      <c r="B56" s="52"/>
      <c r="C56" s="12">
        <v>20</v>
      </c>
      <c r="D56" s="13" cm="1">
        <f t="array" ref="D56">INDEX(DATA!$1:$1048576,$K$1+2,7)</f>
        <v>0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6.5" customHeight="1" x14ac:dyDescent="0.3">
      <c r="A57" s="52">
        <v>50</v>
      </c>
      <c r="B57" s="52"/>
      <c r="C57" s="12">
        <v>20</v>
      </c>
      <c r="D57" s="13" cm="1">
        <f t="array" ref="D57">INDEX(DATA!$1:$1048576,$K$1+2,8)</f>
        <v>7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6.5" customHeight="1" x14ac:dyDescent="0.3">
      <c r="A58" s="52" t="s">
        <v>40</v>
      </c>
      <c r="B58" s="52"/>
      <c r="C58" s="12">
        <v>20</v>
      </c>
      <c r="D58" s="13" cm="1">
        <f t="array" ref="D58">INDEX(DATA!$1:$1048576,$K$1+2,9)</f>
        <v>20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3">
      <c r="C59" s="3"/>
      <c r="D59" s="3"/>
    </row>
    <row r="60" spans="1:26" ht="16.5" customHeight="1" x14ac:dyDescent="0.3">
      <c r="A60" s="53" t="s">
        <v>41</v>
      </c>
      <c r="B60" s="53"/>
      <c r="C60" s="53"/>
      <c r="D60" s="45">
        <v>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2" spans="1:26" ht="16.5" customHeight="1" x14ac:dyDescent="0.3">
      <c r="A62" s="54" t="s">
        <v>35</v>
      </c>
      <c r="B62" s="54"/>
      <c r="C62" s="54"/>
      <c r="D62" s="54"/>
      <c r="E62" s="28" cm="1">
        <f t="array" ref="E62">INDEX(DATA!$1:$1048576,$K$1+2,11)</f>
        <v>55.48</v>
      </c>
      <c r="F62" s="41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6.5" customHeight="1" x14ac:dyDescent="0.3">
      <c r="A63" s="55" t="s">
        <v>43</v>
      </c>
      <c r="B63" s="55"/>
      <c r="C63" s="55"/>
      <c r="D63" s="55"/>
      <c r="E63" s="29" cm="1">
        <f t="array" ref="E63">INDEX(DATA!$1:$1048576,$K$1+2,12)</f>
        <v>47.85</v>
      </c>
      <c r="F63" s="4"/>
      <c r="G63" s="4"/>
      <c r="H63" s="4"/>
      <c r="I63" s="4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6.5" customHeight="1" x14ac:dyDescent="0.3">
      <c r="A64" s="51" t="s">
        <v>44</v>
      </c>
      <c r="B64" s="51"/>
      <c r="C64" s="51"/>
      <c r="D64" s="51"/>
      <c r="E64" s="29" cm="1">
        <f t="array" ref="E64">INDEX(DATA!$1:$1048576,$K$1+2,13)</f>
        <v>64.319999999999993</v>
      </c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3">
      <c r="A65" s="59" t="s">
        <v>27</v>
      </c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  <c r="N65" s="60"/>
      <c r="O65" s="60"/>
      <c r="P65" s="60"/>
      <c r="Q65" s="60"/>
      <c r="R65" s="60"/>
      <c r="S65" s="60"/>
      <c r="T65" s="60"/>
      <c r="U65" s="60"/>
      <c r="V65" s="60"/>
      <c r="W65" s="60"/>
      <c r="X65" s="60"/>
      <c r="Y65" s="60"/>
      <c r="Z65" s="60"/>
    </row>
    <row r="66" spans="1:26" ht="16.5" customHeight="1" x14ac:dyDescent="0.3">
      <c r="A66" s="53" t="s">
        <v>28</v>
      </c>
      <c r="B66" s="53"/>
      <c r="C66" s="53"/>
      <c r="D66" s="53"/>
      <c r="E66" s="53"/>
      <c r="F66" s="53"/>
      <c r="G66" s="53"/>
      <c r="H66" s="53"/>
      <c r="I66" s="53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3">
      <c r="A67" s="53" t="s">
        <v>17</v>
      </c>
      <c r="B67" s="53"/>
      <c r="C67" s="53"/>
      <c r="D67" s="53"/>
      <c r="E67" s="53"/>
      <c r="F67" s="53"/>
      <c r="G67" s="53"/>
      <c r="H67" s="53"/>
      <c r="I67" s="53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6.5" customHeight="1" x14ac:dyDescent="0.3">
      <c r="A68" s="53" t="s">
        <v>29</v>
      </c>
      <c r="B68" s="53"/>
      <c r="C68" s="53"/>
      <c r="D68" s="53"/>
      <c r="E68" s="53"/>
      <c r="F68" s="53"/>
      <c r="G68" s="53"/>
      <c r="H68" s="53"/>
      <c r="I68" s="53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3">
      <c r="A69" s="53" t="s">
        <v>30</v>
      </c>
      <c r="B69" s="53"/>
      <c r="C69" s="53"/>
      <c r="D69" s="53"/>
      <c r="E69" s="53"/>
      <c r="F69" s="53"/>
      <c r="G69" s="53"/>
      <c r="H69" s="53"/>
      <c r="I69" s="53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1" spans="1:26" ht="16.5" customHeight="1" x14ac:dyDescent="0.3">
      <c r="A71" s="53" t="s">
        <v>31</v>
      </c>
      <c r="B71" s="53"/>
      <c r="C71" s="53"/>
      <c r="D71" s="53"/>
      <c r="E71" s="53"/>
      <c r="F71" s="53"/>
      <c r="G71" s="53"/>
      <c r="H71" s="53"/>
      <c r="I71" s="53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</sheetData>
  <mergeCells count="51">
    <mergeCell ref="A68:I68"/>
    <mergeCell ref="A69:I69"/>
    <mergeCell ref="A71:I71"/>
    <mergeCell ref="A62:D62"/>
    <mergeCell ref="A63:D63"/>
    <mergeCell ref="A64:D64"/>
    <mergeCell ref="A65:Z65"/>
    <mergeCell ref="A66:I66"/>
    <mergeCell ref="A67:I67"/>
    <mergeCell ref="A60:C60"/>
    <mergeCell ref="C47:D47"/>
    <mergeCell ref="E47:F47"/>
    <mergeCell ref="A49:I49"/>
    <mergeCell ref="A51:I51"/>
    <mergeCell ref="A52:I52"/>
    <mergeCell ref="A53:B53"/>
    <mergeCell ref="A54:B54"/>
    <mergeCell ref="A55:B55"/>
    <mergeCell ref="A56:B56"/>
    <mergeCell ref="A57:B57"/>
    <mergeCell ref="A58:B58"/>
    <mergeCell ref="A45:Z45"/>
    <mergeCell ref="A21:I21"/>
    <mergeCell ref="A23:I23"/>
    <mergeCell ref="A29:I29"/>
    <mergeCell ref="A30:Z30"/>
    <mergeCell ref="A31:I31"/>
    <mergeCell ref="A33:I33"/>
    <mergeCell ref="A34:I34"/>
    <mergeCell ref="A35:Z35"/>
    <mergeCell ref="A36:I36"/>
    <mergeCell ref="A38:I38"/>
    <mergeCell ref="A44:I44"/>
    <mergeCell ref="A20:I20"/>
    <mergeCell ref="A7:I7"/>
    <mergeCell ref="A8:I8"/>
    <mergeCell ref="A9:I9"/>
    <mergeCell ref="A10:I10"/>
    <mergeCell ref="A11:I11"/>
    <mergeCell ref="A12:I12"/>
    <mergeCell ref="A13:I13"/>
    <mergeCell ref="A14:I14"/>
    <mergeCell ref="A15:I15"/>
    <mergeCell ref="A16:I16"/>
    <mergeCell ref="A18:I18"/>
    <mergeCell ref="A6:I6"/>
    <mergeCell ref="A1:I1"/>
    <mergeCell ref="A2:I2"/>
    <mergeCell ref="A3:I3"/>
    <mergeCell ref="A4:I4"/>
    <mergeCell ref="A5:I5"/>
  </mergeCells>
  <phoneticPr fontId="24" type="noConversion"/>
  <pageMargins left="0.75" right="0.75" top="1" bottom="1" header="0.5" footer="0.5"/>
  <pageSetup paperSize="9" scale="88" orientation="portrait" r:id="rId1"/>
  <rowBreaks count="1" manualBreakCount="1">
    <brk id="45" max="8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Spinner 1">
              <controlPr defaultSize="0" autoPict="0">
                <anchor moveWithCells="1" sizeWithCells="1">
                  <from>
                    <xdr:col>10</xdr:col>
                    <xdr:colOff>504825</xdr:colOff>
                    <xdr:row>0</xdr:row>
                    <xdr:rowOff>133350</xdr:rowOff>
                  </from>
                  <to>
                    <xdr:col>11</xdr:col>
                    <xdr:colOff>504825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CE8A9-80A3-41A4-AEE9-A9610CEE464A}">
  <dimension ref="A1:Z71"/>
  <sheetViews>
    <sheetView showGridLines="0" view="pageBreakPreview" topLeftCell="A46" zoomScaleNormal="100" zoomScaleSheetLayoutView="100" workbookViewId="0">
      <selection activeCell="L21" sqref="L21"/>
    </sheetView>
  </sheetViews>
  <sheetFormatPr defaultRowHeight="16.5" x14ac:dyDescent="0.3"/>
  <cols>
    <col min="1" max="1" width="11.125" style="34" bestFit="1" customWidth="1"/>
    <col min="2" max="2" width="9.25" style="34" bestFit="1" customWidth="1"/>
    <col min="3" max="5" width="9" style="34"/>
    <col min="6" max="6" width="13.5" style="34" customWidth="1"/>
    <col min="7" max="7" width="10.875" style="34" bestFit="1" customWidth="1"/>
    <col min="8" max="16384" width="9" style="34"/>
  </cols>
  <sheetData>
    <row r="1" spans="1:26" ht="16.5" customHeight="1" x14ac:dyDescent="0.3">
      <c r="A1" s="53" t="s">
        <v>0</v>
      </c>
      <c r="B1" s="53"/>
      <c r="C1" s="53"/>
      <c r="D1" s="53"/>
      <c r="E1" s="53"/>
      <c r="F1" s="53"/>
      <c r="G1" s="53"/>
      <c r="H1" s="53"/>
      <c r="I1" s="53"/>
      <c r="J1" s="30"/>
      <c r="K1" s="30">
        <v>1</v>
      </c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</row>
    <row r="2" spans="1:26" x14ac:dyDescent="0.3">
      <c r="A2" s="57"/>
      <c r="B2" s="57"/>
      <c r="C2" s="57"/>
      <c r="D2" s="57"/>
      <c r="E2" s="57"/>
      <c r="F2" s="57"/>
      <c r="G2" s="57"/>
      <c r="H2" s="57"/>
      <c r="I2" s="57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</row>
    <row r="3" spans="1:26" ht="16.5" customHeight="1" x14ac:dyDescent="0.3">
      <c r="A3" s="53" t="s">
        <v>1</v>
      </c>
      <c r="B3" s="53"/>
      <c r="C3" s="53"/>
      <c r="D3" s="53"/>
      <c r="E3" s="53"/>
      <c r="F3" s="53"/>
      <c r="G3" s="53"/>
      <c r="H3" s="53"/>
      <c r="I3" s="53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</row>
    <row r="4" spans="1:26" ht="16.5" customHeight="1" x14ac:dyDescent="0.3">
      <c r="A4" s="58">
        <f>INDEX(DATA!$1:$1048576,$K$1+2,2)</f>
        <v>45791</v>
      </c>
      <c r="B4" s="58"/>
      <c r="C4" s="58"/>
      <c r="D4" s="58"/>
      <c r="E4" s="58"/>
      <c r="F4" s="58"/>
      <c r="G4" s="58"/>
      <c r="H4" s="58"/>
      <c r="I4" s="58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</row>
    <row r="5" spans="1:26" ht="16.5" customHeight="1" x14ac:dyDescent="0.3">
      <c r="A5" s="53" t="s">
        <v>2</v>
      </c>
      <c r="B5" s="53"/>
      <c r="C5" s="53"/>
      <c r="D5" s="53"/>
      <c r="E5" s="53"/>
      <c r="F5" s="53"/>
      <c r="G5" s="53"/>
      <c r="H5" s="53"/>
      <c r="I5" s="53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</row>
    <row r="6" spans="1:26" ht="16.5" customHeight="1" x14ac:dyDescent="0.3">
      <c r="A6" s="54" t="str" cm="1">
        <f t="array" ref="A6">INDEX(DATA!$1:$1048576,$K$1+2,3)</f>
        <v xml:space="preserve">  renewus 250514 - 003 - A</v>
      </c>
      <c r="B6" s="54"/>
      <c r="C6" s="54"/>
      <c r="D6" s="54"/>
      <c r="E6" s="54"/>
      <c r="F6" s="54"/>
      <c r="G6" s="54"/>
      <c r="H6" s="54"/>
      <c r="I6" s="54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</row>
    <row r="7" spans="1:26" ht="16.5" customHeight="1" x14ac:dyDescent="0.3">
      <c r="A7" s="53" t="s">
        <v>3</v>
      </c>
      <c r="B7" s="53"/>
      <c r="C7" s="53"/>
      <c r="D7" s="53"/>
      <c r="E7" s="53"/>
      <c r="F7" s="53"/>
      <c r="G7" s="53"/>
      <c r="H7" s="53"/>
      <c r="I7" s="53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</row>
    <row r="8" spans="1:26" ht="16.5" customHeight="1" x14ac:dyDescent="0.3">
      <c r="A8" s="53" t="s">
        <v>4</v>
      </c>
      <c r="B8" s="53"/>
      <c r="C8" s="53"/>
      <c r="D8" s="53"/>
      <c r="E8" s="53"/>
      <c r="F8" s="53"/>
      <c r="G8" s="53"/>
      <c r="H8" s="53"/>
      <c r="I8" s="53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</row>
    <row r="9" spans="1:26" x14ac:dyDescent="0.3">
      <c r="A9" s="62" t="s">
        <v>5</v>
      </c>
      <c r="B9" s="62"/>
      <c r="C9" s="62"/>
      <c r="D9" s="62"/>
      <c r="E9" s="62"/>
      <c r="F9" s="62"/>
      <c r="G9" s="62"/>
      <c r="H9" s="62"/>
      <c r="I9" s="6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</row>
    <row r="10" spans="1:26" ht="16.5" customHeight="1" x14ac:dyDescent="0.3">
      <c r="A10" s="53" t="s">
        <v>6</v>
      </c>
      <c r="B10" s="53"/>
      <c r="C10" s="53"/>
      <c r="D10" s="53"/>
      <c r="E10" s="53"/>
      <c r="F10" s="53"/>
      <c r="G10" s="53"/>
      <c r="H10" s="53"/>
      <c r="I10" s="53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</row>
    <row r="11" spans="1:26" ht="16.5" customHeight="1" x14ac:dyDescent="0.3">
      <c r="A11" s="62" t="s">
        <v>7</v>
      </c>
      <c r="B11" s="62"/>
      <c r="C11" s="62"/>
      <c r="D11" s="62"/>
      <c r="E11" s="62"/>
      <c r="F11" s="62"/>
      <c r="G11" s="62"/>
      <c r="H11" s="62"/>
      <c r="I11" s="6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</row>
    <row r="12" spans="1:26" ht="16.5" customHeight="1" x14ac:dyDescent="0.3">
      <c r="A12" s="53" t="s">
        <v>38</v>
      </c>
      <c r="B12" s="53"/>
      <c r="C12" s="53"/>
      <c r="D12" s="53"/>
      <c r="E12" s="53"/>
      <c r="F12" s="53"/>
      <c r="G12" s="53"/>
      <c r="H12" s="53"/>
      <c r="I12" s="53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</row>
    <row r="13" spans="1:26" ht="16.5" customHeight="1" x14ac:dyDescent="0.3">
      <c r="A13" s="54" t="str" cm="1">
        <f t="array" ref="A13">INDEX(DATA!$1:$1048576,$K$1+2,4)</f>
        <v>Effluent</v>
      </c>
      <c r="B13" s="54"/>
      <c r="C13" s="54"/>
      <c r="D13" s="54"/>
      <c r="E13" s="54"/>
      <c r="F13" s="54"/>
      <c r="G13" s="54"/>
      <c r="H13" s="54"/>
      <c r="I13" s="54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</row>
    <row r="14" spans="1:26" ht="16.5" customHeight="1" x14ac:dyDescent="0.3">
      <c r="A14" s="53" t="s">
        <v>9</v>
      </c>
      <c r="B14" s="53"/>
      <c r="C14" s="53"/>
      <c r="D14" s="53"/>
      <c r="E14" s="53"/>
      <c r="F14" s="53"/>
      <c r="G14" s="53"/>
      <c r="H14" s="53"/>
      <c r="I14" s="53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</row>
    <row r="15" spans="1:26" x14ac:dyDescent="0.3">
      <c r="A15" s="62" t="s">
        <v>10</v>
      </c>
      <c r="B15" s="62"/>
      <c r="C15" s="62"/>
      <c r="D15" s="62"/>
      <c r="E15" s="62"/>
      <c r="F15" s="62"/>
      <c r="G15" s="62"/>
      <c r="H15" s="62"/>
      <c r="I15" s="6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</row>
    <row r="16" spans="1:26" ht="16.5" customHeight="1" x14ac:dyDescent="0.3">
      <c r="A16" s="53" t="s">
        <v>11</v>
      </c>
      <c r="B16" s="53"/>
      <c r="C16" s="53"/>
      <c r="D16" s="53"/>
      <c r="E16" s="53"/>
      <c r="F16" s="53"/>
      <c r="G16" s="53"/>
      <c r="H16" s="53"/>
      <c r="I16" s="53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</row>
    <row r="17" spans="1:26" x14ac:dyDescent="0.3">
      <c r="A17" s="8">
        <v>20</v>
      </c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</row>
    <row r="18" spans="1:26" ht="16.5" customHeight="1" x14ac:dyDescent="0.3">
      <c r="A18" s="53" t="s">
        <v>12</v>
      </c>
      <c r="B18" s="53"/>
      <c r="C18" s="53"/>
      <c r="D18" s="53"/>
      <c r="E18" s="53"/>
      <c r="F18" s="53"/>
      <c r="G18" s="53"/>
      <c r="H18" s="53"/>
      <c r="I18" s="53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</row>
    <row r="19" spans="1:26" x14ac:dyDescent="0.3">
      <c r="A19" s="8">
        <v>0</v>
      </c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</row>
    <row r="20" spans="1:26" ht="16.5" customHeight="1" x14ac:dyDescent="0.3">
      <c r="A20" s="53" t="s">
        <v>13</v>
      </c>
      <c r="B20" s="53"/>
      <c r="C20" s="53"/>
      <c r="D20" s="53"/>
      <c r="E20" s="53"/>
      <c r="F20" s="53"/>
      <c r="G20" s="53"/>
      <c r="H20" s="53"/>
      <c r="I20" s="53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</row>
    <row r="21" spans="1:26" ht="16.5" customHeight="1" x14ac:dyDescent="0.3">
      <c r="A21" s="53" t="s">
        <v>14</v>
      </c>
      <c r="B21" s="53"/>
      <c r="C21" s="53"/>
      <c r="D21" s="53"/>
      <c r="E21" s="53"/>
      <c r="F21" s="53"/>
      <c r="G21" s="53"/>
      <c r="H21" s="53"/>
      <c r="I21" s="53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</row>
    <row r="22" spans="1:26" x14ac:dyDescent="0.3">
      <c r="A22" s="8">
        <v>5</v>
      </c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</row>
    <row r="23" spans="1:26" ht="16.5" customHeight="1" x14ac:dyDescent="0.3">
      <c r="A23" s="53" t="s">
        <v>15</v>
      </c>
      <c r="B23" s="53"/>
      <c r="C23" s="53"/>
      <c r="D23" s="53"/>
      <c r="E23" s="53"/>
      <c r="F23" s="53"/>
      <c r="G23" s="53"/>
      <c r="H23" s="53"/>
      <c r="I23" s="53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</row>
    <row r="24" spans="1:26" x14ac:dyDescent="0.3">
      <c r="A24" s="15">
        <v>6.25</v>
      </c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</row>
    <row r="25" spans="1:26" x14ac:dyDescent="0.3">
      <c r="A25" s="15">
        <v>12.5</v>
      </c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</row>
    <row r="26" spans="1:26" x14ac:dyDescent="0.3">
      <c r="A26" s="14">
        <v>25</v>
      </c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</row>
    <row r="27" spans="1:26" x14ac:dyDescent="0.3">
      <c r="A27" s="14">
        <v>50</v>
      </c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</row>
    <row r="28" spans="1:26" x14ac:dyDescent="0.3">
      <c r="A28" s="14">
        <v>100</v>
      </c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</row>
    <row r="29" spans="1:26" ht="16.5" customHeight="1" x14ac:dyDescent="0.3">
      <c r="A29" s="53" t="s">
        <v>16</v>
      </c>
      <c r="B29" s="53"/>
      <c r="C29" s="53"/>
      <c r="D29" s="53"/>
      <c r="E29" s="53"/>
      <c r="F29" s="53"/>
      <c r="G29" s="53"/>
      <c r="H29" s="53"/>
      <c r="I29" s="53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</row>
    <row r="30" spans="1:26" x14ac:dyDescent="0.3">
      <c r="A30" s="62" t="s">
        <v>17</v>
      </c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</row>
    <row r="31" spans="1:26" ht="16.5" customHeight="1" x14ac:dyDescent="0.3">
      <c r="A31" s="53" t="s">
        <v>18</v>
      </c>
      <c r="B31" s="53"/>
      <c r="C31" s="53"/>
      <c r="D31" s="53"/>
      <c r="E31" s="53"/>
      <c r="F31" s="53"/>
      <c r="G31" s="53"/>
      <c r="H31" s="53"/>
      <c r="I31" s="53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</row>
    <row r="32" spans="1:26" x14ac:dyDescent="0.3">
      <c r="A32" s="8">
        <v>20</v>
      </c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</row>
    <row r="33" spans="1:26" ht="16.5" customHeight="1" x14ac:dyDescent="0.3">
      <c r="A33" s="53" t="s">
        <v>19</v>
      </c>
      <c r="B33" s="53"/>
      <c r="C33" s="53"/>
      <c r="D33" s="53"/>
      <c r="E33" s="53"/>
      <c r="F33" s="53"/>
      <c r="G33" s="53"/>
      <c r="H33" s="53"/>
      <c r="I33" s="53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</row>
    <row r="34" spans="1:26" ht="16.5" customHeight="1" x14ac:dyDescent="0.3">
      <c r="A34" s="53" t="s">
        <v>20</v>
      </c>
      <c r="B34" s="53"/>
      <c r="C34" s="53"/>
      <c r="D34" s="53"/>
      <c r="E34" s="53"/>
      <c r="F34" s="53"/>
      <c r="G34" s="53"/>
      <c r="H34" s="53"/>
      <c r="I34" s="53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</row>
    <row r="35" spans="1:26" x14ac:dyDescent="0.3">
      <c r="A35" s="62" t="s">
        <v>21</v>
      </c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</row>
    <row r="36" spans="1:26" ht="16.5" customHeight="1" x14ac:dyDescent="0.3">
      <c r="A36" s="53" t="s">
        <v>22</v>
      </c>
      <c r="B36" s="53"/>
      <c r="C36" s="53"/>
      <c r="D36" s="53"/>
      <c r="E36" s="53"/>
      <c r="F36" s="53"/>
      <c r="G36" s="53"/>
      <c r="H36" s="53"/>
      <c r="I36" s="53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</row>
    <row r="37" spans="1:26" x14ac:dyDescent="0.3">
      <c r="A37" s="8">
        <v>24</v>
      </c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</row>
    <row r="38" spans="1:26" ht="16.5" customHeight="1" x14ac:dyDescent="0.3">
      <c r="A38" s="53" t="s">
        <v>23</v>
      </c>
      <c r="B38" s="53"/>
      <c r="C38" s="53"/>
      <c r="D38" s="53"/>
      <c r="E38" s="53"/>
      <c r="F38" s="53"/>
      <c r="G38" s="53"/>
      <c r="H38" s="53"/>
      <c r="I38" s="53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</row>
    <row r="39" spans="1:26" x14ac:dyDescent="0.3">
      <c r="A39" s="9" cm="1">
        <f t="array" ref="A39">INDEX(DATA!$1:$1048576,$K$1+2,5)</f>
        <v>0</v>
      </c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</row>
    <row r="40" spans="1:26" x14ac:dyDescent="0.3">
      <c r="A40" s="9" cm="1">
        <f t="array" ref="A40">INDEX(DATA!$1:$1048576,$K$1+2,6)</f>
        <v>0</v>
      </c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</row>
    <row r="41" spans="1:26" x14ac:dyDescent="0.3">
      <c r="A41" s="9" cm="1">
        <f t="array" ref="A41">INDEX(DATA!$1:$1048576,$K$1+2,7)</f>
        <v>3</v>
      </c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</row>
    <row r="42" spans="1:26" x14ac:dyDescent="0.3">
      <c r="A42" s="9" cm="1">
        <f t="array" ref="A42">INDEX(DATA!$1:$1048576,$K$1+2,8)</f>
        <v>20</v>
      </c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</row>
    <row r="43" spans="1:26" x14ac:dyDescent="0.3">
      <c r="A43" s="9" cm="1">
        <f t="array" ref="A43">INDEX(DATA!$1:$1048576,$K$1+2,9)</f>
        <v>20</v>
      </c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</row>
    <row r="44" spans="1:26" ht="16.5" customHeight="1" x14ac:dyDescent="0.3">
      <c r="A44" s="53" t="s">
        <v>24</v>
      </c>
      <c r="B44" s="53"/>
      <c r="C44" s="53"/>
      <c r="D44" s="53"/>
      <c r="E44" s="53"/>
      <c r="F44" s="53"/>
      <c r="G44" s="53"/>
      <c r="H44" s="53"/>
      <c r="I44" s="53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</row>
    <row r="45" spans="1:26" x14ac:dyDescent="0.3">
      <c r="A45" s="62" t="s">
        <v>17</v>
      </c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</row>
    <row r="46" spans="1:26" x14ac:dyDescent="0.3">
      <c r="A46" s="32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</row>
    <row r="47" spans="1:26" ht="16.5" customHeight="1" x14ac:dyDescent="0.3">
      <c r="A47" s="30" t="s">
        <v>33</v>
      </c>
      <c r="B47" s="33" cm="1">
        <f t="array" ref="B47">INDEX(DATA!$1:$1048576,$K$1+2,2)</f>
        <v>45791</v>
      </c>
      <c r="C47" s="56" t="s">
        <v>37</v>
      </c>
      <c r="D47" s="56"/>
      <c r="E47" s="54" t="str" cm="1">
        <f t="array" ref="E47">INDEX(DATA!$1:$1048576,$K$1+2,3)</f>
        <v xml:space="preserve">  renewus 250514 - 003 - A</v>
      </c>
      <c r="F47" s="54"/>
      <c r="G47" s="27" t="s">
        <v>34</v>
      </c>
      <c r="H47" s="11" t="s">
        <v>32</v>
      </c>
      <c r="I47" s="1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</row>
    <row r="48" spans="1:26" ht="16.5" customHeight="1" x14ac:dyDescent="0.3">
      <c r="A48" s="1" t="s">
        <v>36</v>
      </c>
      <c r="B48" s="31" t="str" cm="1">
        <f t="array" ref="B48">INDEX(DATA!$1:$1048576,$K$1+2,4)</f>
        <v>Effluent</v>
      </c>
      <c r="C48" s="1"/>
      <c r="D48" s="1"/>
      <c r="E48" s="1"/>
      <c r="F48" s="1"/>
      <c r="G48" s="1"/>
      <c r="H48" s="1"/>
      <c r="I48" s="1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</row>
    <row r="49" spans="1:26" ht="16.5" customHeight="1" x14ac:dyDescent="0.3">
      <c r="A49" s="53" t="s">
        <v>42</v>
      </c>
      <c r="B49" s="53"/>
      <c r="C49" s="53"/>
      <c r="D49" s="53"/>
      <c r="E49" s="53"/>
      <c r="F49" s="53"/>
      <c r="G49" s="53"/>
      <c r="H49" s="53"/>
      <c r="I49" s="53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</row>
    <row r="50" spans="1:26" x14ac:dyDescent="0.3">
      <c r="A50" s="32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</row>
    <row r="51" spans="1:26" ht="16.5" customHeight="1" x14ac:dyDescent="0.3">
      <c r="A51" s="53" t="s">
        <v>25</v>
      </c>
      <c r="B51" s="53"/>
      <c r="C51" s="53"/>
      <c r="D51" s="53"/>
      <c r="E51" s="53"/>
      <c r="F51" s="53"/>
      <c r="G51" s="53"/>
      <c r="H51" s="53"/>
      <c r="I51" s="53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</row>
    <row r="52" spans="1:26" ht="26.25" customHeight="1" x14ac:dyDescent="0.3">
      <c r="A52" s="61" t="s">
        <v>26</v>
      </c>
      <c r="B52" s="61"/>
      <c r="C52" s="61"/>
      <c r="D52" s="61"/>
      <c r="E52" s="61"/>
      <c r="F52" s="61"/>
      <c r="G52" s="61"/>
      <c r="H52" s="61"/>
      <c r="I52" s="61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</row>
    <row r="53" spans="1:26" ht="16.5" customHeight="1" x14ac:dyDescent="0.3">
      <c r="A53" s="52">
        <v>0</v>
      </c>
      <c r="B53" s="52"/>
      <c r="C53" s="12">
        <v>20</v>
      </c>
      <c r="D53" s="13">
        <v>0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6.5" customHeight="1" x14ac:dyDescent="0.3">
      <c r="A54" s="52">
        <v>6.25</v>
      </c>
      <c r="B54" s="52"/>
      <c r="C54" s="12">
        <v>20</v>
      </c>
      <c r="D54" s="13" cm="1">
        <f t="array" ref="D54">INDEX(DATA!$1:$1048576,$K$1+2,5)</f>
        <v>0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6.5" customHeight="1" x14ac:dyDescent="0.3">
      <c r="A55" s="52">
        <v>12.5</v>
      </c>
      <c r="B55" s="52"/>
      <c r="C55" s="12">
        <v>20</v>
      </c>
      <c r="D55" s="13" cm="1">
        <f t="array" ref="D55">INDEX(DATA!$1:$1048576,$K$1+2,6)</f>
        <v>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6.5" customHeight="1" x14ac:dyDescent="0.3">
      <c r="A56" s="52" t="s">
        <v>39</v>
      </c>
      <c r="B56" s="52"/>
      <c r="C56" s="12">
        <v>20</v>
      </c>
      <c r="D56" s="13" cm="1">
        <f t="array" ref="D56">INDEX(DATA!$1:$1048576,$K$1+2,7)</f>
        <v>3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6.5" customHeight="1" x14ac:dyDescent="0.3">
      <c r="A57" s="52">
        <v>50</v>
      </c>
      <c r="B57" s="52"/>
      <c r="C57" s="12">
        <v>20</v>
      </c>
      <c r="D57" s="13" cm="1">
        <f t="array" ref="D57">INDEX(DATA!$1:$1048576,$K$1+2,8)</f>
        <v>20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6.5" customHeight="1" x14ac:dyDescent="0.3">
      <c r="A58" s="52" t="s">
        <v>40</v>
      </c>
      <c r="B58" s="52"/>
      <c r="C58" s="12">
        <v>20</v>
      </c>
      <c r="D58" s="13" cm="1">
        <f t="array" ref="D58">INDEX(DATA!$1:$1048576,$K$1+2,9)</f>
        <v>20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3">
      <c r="C59" s="3"/>
      <c r="D59" s="3"/>
    </row>
    <row r="60" spans="1:26" ht="16.5" customHeight="1" x14ac:dyDescent="0.3">
      <c r="A60" s="53" t="s">
        <v>41</v>
      </c>
      <c r="B60" s="53"/>
      <c r="C60" s="53"/>
      <c r="D60" s="44">
        <f>INDEX(DATA!$1:$1048576,$K$1+2,10)</f>
        <v>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2" spans="1:26" ht="16.5" customHeight="1" x14ac:dyDescent="0.3">
      <c r="A62" s="54" t="s">
        <v>35</v>
      </c>
      <c r="B62" s="54"/>
      <c r="C62" s="54"/>
      <c r="D62" s="54"/>
      <c r="E62" s="46" cm="1">
        <f t="array" ref="E62">INDEX(DATA!$1:$1048576,$K$1+2,11)</f>
        <v>31.86</v>
      </c>
      <c r="F62" s="31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6.5" customHeight="1" x14ac:dyDescent="0.3">
      <c r="A63" s="55"/>
      <c r="B63" s="55"/>
      <c r="C63" s="55"/>
      <c r="D63" s="55"/>
      <c r="E63" s="63">
        <f>INDEX(DATA!$1:$1048576,$K$1+2,12)</f>
        <v>28.53</v>
      </c>
      <c r="F63" s="63"/>
      <c r="G63" s="4"/>
      <c r="H63" s="4"/>
      <c r="I63" s="4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6.5" customHeight="1" x14ac:dyDescent="0.3">
      <c r="A64" s="51"/>
      <c r="B64" s="51"/>
      <c r="C64" s="51"/>
      <c r="D64" s="51"/>
      <c r="E64" s="63"/>
      <c r="F64" s="63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3">
      <c r="A65" s="59" t="s">
        <v>27</v>
      </c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  <c r="N65" s="60"/>
      <c r="O65" s="60"/>
      <c r="P65" s="60"/>
      <c r="Q65" s="60"/>
      <c r="R65" s="60"/>
      <c r="S65" s="60"/>
      <c r="T65" s="60"/>
      <c r="U65" s="60"/>
      <c r="V65" s="60"/>
      <c r="W65" s="60"/>
      <c r="X65" s="60"/>
      <c r="Y65" s="60"/>
      <c r="Z65" s="60"/>
    </row>
    <row r="66" spans="1:26" ht="16.5" customHeight="1" x14ac:dyDescent="0.3">
      <c r="A66" s="53" t="s">
        <v>28</v>
      </c>
      <c r="B66" s="53"/>
      <c r="C66" s="53"/>
      <c r="D66" s="53"/>
      <c r="E66" s="53"/>
      <c r="F66" s="53"/>
      <c r="G66" s="53"/>
      <c r="H66" s="53"/>
      <c r="I66" s="53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3">
      <c r="A67" s="53" t="s">
        <v>17</v>
      </c>
      <c r="B67" s="53"/>
      <c r="C67" s="53"/>
      <c r="D67" s="53"/>
      <c r="E67" s="53"/>
      <c r="F67" s="53"/>
      <c r="G67" s="53"/>
      <c r="H67" s="53"/>
      <c r="I67" s="53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6.5" customHeight="1" x14ac:dyDescent="0.3">
      <c r="A68" s="53" t="s">
        <v>29</v>
      </c>
      <c r="B68" s="53"/>
      <c r="C68" s="53"/>
      <c r="D68" s="53"/>
      <c r="E68" s="53"/>
      <c r="F68" s="53"/>
      <c r="G68" s="53"/>
      <c r="H68" s="53"/>
      <c r="I68" s="53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3">
      <c r="A69" s="53" t="s">
        <v>30</v>
      </c>
      <c r="B69" s="53"/>
      <c r="C69" s="53"/>
      <c r="D69" s="53"/>
      <c r="E69" s="53"/>
      <c r="F69" s="53"/>
      <c r="G69" s="53"/>
      <c r="H69" s="53"/>
      <c r="I69" s="53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1" spans="1:26" ht="16.5" customHeight="1" x14ac:dyDescent="0.3">
      <c r="A71" s="53" t="s">
        <v>31</v>
      </c>
      <c r="B71" s="53"/>
      <c r="C71" s="53"/>
      <c r="D71" s="53"/>
      <c r="E71" s="53"/>
      <c r="F71" s="53"/>
      <c r="G71" s="53"/>
      <c r="H71" s="53"/>
      <c r="I71" s="53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</sheetData>
  <mergeCells count="52">
    <mergeCell ref="A6:I6"/>
    <mergeCell ref="A1:I1"/>
    <mergeCell ref="A2:I2"/>
    <mergeCell ref="A3:I3"/>
    <mergeCell ref="A4:I4"/>
    <mergeCell ref="A5:I5"/>
    <mergeCell ref="A20:I20"/>
    <mergeCell ref="A7:I7"/>
    <mergeCell ref="A8:I8"/>
    <mergeCell ref="A9:I9"/>
    <mergeCell ref="A10:I10"/>
    <mergeCell ref="A11:I11"/>
    <mergeCell ref="A12:I12"/>
    <mergeCell ref="A13:I13"/>
    <mergeCell ref="A14:I14"/>
    <mergeCell ref="A15:I15"/>
    <mergeCell ref="A16:I16"/>
    <mergeCell ref="A18:I18"/>
    <mergeCell ref="A45:Z45"/>
    <mergeCell ref="A21:I21"/>
    <mergeCell ref="A23:I23"/>
    <mergeCell ref="A29:I29"/>
    <mergeCell ref="A30:Z30"/>
    <mergeCell ref="A31:I31"/>
    <mergeCell ref="A33:I33"/>
    <mergeCell ref="A34:I34"/>
    <mergeCell ref="A35:Z35"/>
    <mergeCell ref="A36:I36"/>
    <mergeCell ref="A38:I38"/>
    <mergeCell ref="A44:I44"/>
    <mergeCell ref="A60:C60"/>
    <mergeCell ref="C47:D47"/>
    <mergeCell ref="E47:F47"/>
    <mergeCell ref="A49:I49"/>
    <mergeCell ref="A51:I51"/>
    <mergeCell ref="A52:I52"/>
    <mergeCell ref="A53:B53"/>
    <mergeCell ref="A54:B54"/>
    <mergeCell ref="A55:B55"/>
    <mergeCell ref="A56:B56"/>
    <mergeCell ref="A57:B57"/>
    <mergeCell ref="A58:B58"/>
    <mergeCell ref="A68:I68"/>
    <mergeCell ref="A69:I69"/>
    <mergeCell ref="A71:I71"/>
    <mergeCell ref="E63:F64"/>
    <mergeCell ref="A62:D62"/>
    <mergeCell ref="A63:D63"/>
    <mergeCell ref="A64:D64"/>
    <mergeCell ref="A65:Z65"/>
    <mergeCell ref="A66:I66"/>
    <mergeCell ref="A67:I67"/>
  </mergeCells>
  <phoneticPr fontId="24" type="noConversion"/>
  <pageMargins left="0.75" right="0.75" top="1" bottom="1" header="0.5" footer="0.5"/>
  <pageSetup paperSize="9" scale="88" orientation="portrait" r:id="rId1"/>
  <rowBreaks count="1" manualBreakCount="1">
    <brk id="45" max="8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pinner 1">
              <controlPr defaultSize="0" autoPict="0">
                <anchor moveWithCells="1" sizeWithCells="1">
                  <from>
                    <xdr:col>10</xdr:col>
                    <xdr:colOff>504825</xdr:colOff>
                    <xdr:row>0</xdr:row>
                    <xdr:rowOff>133350</xdr:rowOff>
                  </from>
                  <to>
                    <xdr:col>11</xdr:col>
                    <xdr:colOff>504825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23"/>
  <sheetViews>
    <sheetView tabSelected="1" workbookViewId="0">
      <selection activeCell="I21" sqref="I21"/>
    </sheetView>
  </sheetViews>
  <sheetFormatPr defaultRowHeight="16.5" x14ac:dyDescent="0.3"/>
  <cols>
    <col min="1" max="1" width="9" style="17"/>
    <col min="2" max="2" width="11.125" style="17" bestFit="1" customWidth="1"/>
    <col min="3" max="3" width="25.625" style="16" bestFit="1" customWidth="1"/>
    <col min="4" max="4" width="9" style="16"/>
    <col min="5" max="5" width="9" style="18"/>
    <col min="9" max="9" width="9" style="17"/>
    <col min="10" max="10" width="25.375" style="16" bestFit="1" customWidth="1"/>
    <col min="11" max="11" width="9" style="16"/>
    <col min="12" max="12" width="25.625" style="16" bestFit="1" customWidth="1"/>
    <col min="13" max="13" width="25.75" style="16" bestFit="1" customWidth="1"/>
    <col min="16" max="16" width="28.375" customWidth="1"/>
  </cols>
  <sheetData>
    <row r="1" spans="1:16" s="21" customFormat="1" ht="17.25" thickBot="1" x14ac:dyDescent="0.35">
      <c r="A1" s="23"/>
      <c r="B1" s="23" t="s">
        <v>52</v>
      </c>
      <c r="C1" s="22" t="s">
        <v>51</v>
      </c>
      <c r="D1" s="22" t="s">
        <v>50</v>
      </c>
      <c r="E1" s="64" t="s">
        <v>49</v>
      </c>
      <c r="F1" s="65"/>
      <c r="G1" s="65"/>
      <c r="H1" s="65"/>
      <c r="I1" s="66"/>
      <c r="J1" s="22" t="s">
        <v>48</v>
      </c>
      <c r="K1" s="22" t="s">
        <v>47</v>
      </c>
      <c r="L1" s="22" t="s">
        <v>46</v>
      </c>
      <c r="M1" s="22" t="s">
        <v>45</v>
      </c>
    </row>
    <row r="2" spans="1:16" s="21" customFormat="1" ht="18" thickTop="1" thickBot="1" x14ac:dyDescent="0.35">
      <c r="A2" s="23"/>
      <c r="B2" s="25"/>
      <c r="C2" s="22"/>
      <c r="D2" s="22"/>
      <c r="E2" s="24">
        <v>6.25</v>
      </c>
      <c r="F2" s="21">
        <v>12.5</v>
      </c>
      <c r="G2" s="21">
        <v>25</v>
      </c>
      <c r="H2" s="21">
        <v>50</v>
      </c>
      <c r="I2" s="23">
        <v>100</v>
      </c>
      <c r="J2" s="22"/>
      <c r="K2" s="22"/>
      <c r="L2" s="22"/>
      <c r="M2" s="22"/>
    </row>
    <row r="3" spans="1:16" ht="16.5" customHeight="1" thickTop="1" x14ac:dyDescent="0.3">
      <c r="B3" s="20">
        <v>45791</v>
      </c>
      <c r="C3" s="47" t="s">
        <v>69</v>
      </c>
      <c r="D3" s="16" t="s">
        <v>8</v>
      </c>
      <c r="E3" s="18">
        <v>0</v>
      </c>
      <c r="F3" s="34">
        <v>0</v>
      </c>
      <c r="G3" s="34">
        <v>3</v>
      </c>
      <c r="H3" s="34">
        <v>20</v>
      </c>
      <c r="I3" s="17">
        <v>20</v>
      </c>
      <c r="J3" s="49">
        <v>0</v>
      </c>
      <c r="K3" s="16">
        <v>31.86</v>
      </c>
      <c r="L3" s="19">
        <v>28.53</v>
      </c>
      <c r="M3" s="19">
        <v>35.590000000000003</v>
      </c>
      <c r="P3" s="43" t="s">
        <v>53</v>
      </c>
    </row>
    <row r="4" spans="1:16" x14ac:dyDescent="0.3">
      <c r="B4" s="20">
        <v>45791</v>
      </c>
      <c r="C4" s="47" t="s">
        <v>70</v>
      </c>
      <c r="D4" s="16" t="s">
        <v>66</v>
      </c>
      <c r="E4" s="18">
        <v>0</v>
      </c>
      <c r="F4" s="34">
        <v>0</v>
      </c>
      <c r="G4" s="48">
        <v>0</v>
      </c>
      <c r="H4" s="48">
        <v>7</v>
      </c>
      <c r="I4" s="17">
        <v>20</v>
      </c>
      <c r="J4" s="49">
        <v>0</v>
      </c>
      <c r="K4" s="16">
        <v>55.48</v>
      </c>
      <c r="L4" s="19">
        <v>47.85</v>
      </c>
      <c r="M4" s="19">
        <v>64.319999999999993</v>
      </c>
    </row>
    <row r="5" spans="1:16" x14ac:dyDescent="0.3">
      <c r="B5" s="20">
        <v>44959</v>
      </c>
      <c r="C5" s="47" t="s">
        <v>54</v>
      </c>
      <c r="D5" s="16" t="s">
        <v>66</v>
      </c>
      <c r="F5" s="34"/>
      <c r="G5" s="34"/>
      <c r="H5" s="34"/>
      <c r="L5" s="19"/>
      <c r="M5" s="19"/>
    </row>
    <row r="6" spans="1:16" x14ac:dyDescent="0.3">
      <c r="B6" s="20">
        <v>44959</v>
      </c>
      <c r="C6" s="47" t="s">
        <v>55</v>
      </c>
      <c r="D6" s="16" t="s">
        <v>66</v>
      </c>
      <c r="F6" s="34"/>
      <c r="G6" s="34"/>
      <c r="H6" s="34"/>
      <c r="L6" s="19"/>
      <c r="M6" s="19"/>
    </row>
    <row r="7" spans="1:16" x14ac:dyDescent="0.3">
      <c r="B7" s="20">
        <v>44959</v>
      </c>
      <c r="C7" s="47" t="s">
        <v>56</v>
      </c>
      <c r="D7" s="16" t="s">
        <v>66</v>
      </c>
      <c r="E7" s="18">
        <v>0</v>
      </c>
      <c r="F7" s="34">
        <v>0</v>
      </c>
      <c r="G7" s="48">
        <v>0</v>
      </c>
      <c r="H7" s="48">
        <v>0</v>
      </c>
      <c r="I7" s="17">
        <v>19</v>
      </c>
      <c r="J7" s="50">
        <v>5</v>
      </c>
      <c r="K7" s="16">
        <v>72.010000000000005</v>
      </c>
      <c r="L7" s="19" t="s">
        <v>68</v>
      </c>
      <c r="M7" s="19"/>
    </row>
    <row r="8" spans="1:16" x14ac:dyDescent="0.3">
      <c r="B8" s="20">
        <v>44959</v>
      </c>
      <c r="C8" s="47" t="s">
        <v>57</v>
      </c>
      <c r="D8" s="16" t="s">
        <v>66</v>
      </c>
      <c r="F8" s="34"/>
      <c r="G8" s="34"/>
      <c r="H8" s="34"/>
      <c r="L8" s="19"/>
      <c r="M8" s="19"/>
    </row>
    <row r="9" spans="1:16" s="42" customFormat="1" x14ac:dyDescent="0.3">
      <c r="A9" s="17"/>
      <c r="B9" s="20">
        <v>44959</v>
      </c>
      <c r="C9" s="47" t="s">
        <v>58</v>
      </c>
      <c r="D9" s="16" t="s">
        <v>66</v>
      </c>
      <c r="E9" s="18"/>
      <c r="F9" s="34"/>
      <c r="G9" s="34"/>
      <c r="H9" s="34"/>
      <c r="I9" s="17"/>
      <c r="J9" s="19"/>
      <c r="K9" s="16"/>
      <c r="L9" s="43"/>
      <c r="M9" s="19"/>
    </row>
    <row r="10" spans="1:16" s="42" customFormat="1" x14ac:dyDescent="0.3">
      <c r="A10" s="17"/>
      <c r="B10" s="20">
        <v>44959</v>
      </c>
      <c r="C10" s="47" t="s">
        <v>59</v>
      </c>
      <c r="D10" s="16" t="s">
        <v>66</v>
      </c>
      <c r="E10" s="18"/>
      <c r="F10" s="34"/>
      <c r="G10" s="34"/>
      <c r="H10" s="34"/>
      <c r="I10" s="17"/>
      <c r="J10" s="19"/>
      <c r="K10" s="16"/>
      <c r="L10" s="43"/>
      <c r="M10" s="19"/>
    </row>
    <row r="11" spans="1:16" s="42" customFormat="1" x14ac:dyDescent="0.3">
      <c r="A11" s="17"/>
      <c r="B11" s="20">
        <v>44959</v>
      </c>
      <c r="C11" s="47" t="s">
        <v>60</v>
      </c>
      <c r="D11" s="16" t="s">
        <v>66</v>
      </c>
      <c r="E11" s="18"/>
      <c r="F11" s="34"/>
      <c r="G11" s="34"/>
      <c r="H11" s="34"/>
      <c r="I11" s="17"/>
      <c r="J11" s="16"/>
      <c r="K11" s="16"/>
      <c r="L11" s="19"/>
      <c r="M11" s="19"/>
    </row>
    <row r="12" spans="1:16" s="42" customFormat="1" x14ac:dyDescent="0.3">
      <c r="A12" s="17"/>
      <c r="B12" s="20">
        <v>44959</v>
      </c>
      <c r="C12" s="47" t="s">
        <v>61</v>
      </c>
      <c r="D12" s="16" t="s">
        <v>66</v>
      </c>
      <c r="E12" s="18" t="s">
        <v>67</v>
      </c>
      <c r="F12" s="34"/>
      <c r="G12" s="34"/>
      <c r="H12" s="34"/>
      <c r="I12" s="17"/>
      <c r="J12" s="16"/>
      <c r="K12" s="16"/>
      <c r="L12" s="19"/>
      <c r="M12" s="19"/>
    </row>
    <row r="13" spans="1:16" s="42" customFormat="1" x14ac:dyDescent="0.3">
      <c r="A13" s="17"/>
      <c r="B13" s="20">
        <v>44959</v>
      </c>
      <c r="C13" s="47" t="s">
        <v>62</v>
      </c>
      <c r="D13" s="16" t="s">
        <v>66</v>
      </c>
      <c r="E13" s="18">
        <v>0</v>
      </c>
      <c r="F13" s="34">
        <v>0</v>
      </c>
      <c r="G13" s="48">
        <v>0</v>
      </c>
      <c r="H13" s="48">
        <v>0</v>
      </c>
      <c r="I13" s="17">
        <v>17</v>
      </c>
      <c r="J13" s="50">
        <v>15</v>
      </c>
      <c r="K13" s="16">
        <v>75.17</v>
      </c>
      <c r="L13" s="19" t="s">
        <v>68</v>
      </c>
      <c r="M13" s="19"/>
    </row>
    <row r="14" spans="1:16" s="42" customFormat="1" x14ac:dyDescent="0.3">
      <c r="A14" s="17"/>
      <c r="B14" s="20">
        <v>44959</v>
      </c>
      <c r="C14" s="47" t="s">
        <v>63</v>
      </c>
      <c r="D14" s="16" t="s">
        <v>66</v>
      </c>
      <c r="E14" s="18"/>
      <c r="F14" s="34"/>
      <c r="G14" s="34"/>
      <c r="H14" s="34"/>
      <c r="I14" s="17"/>
      <c r="J14" s="16"/>
      <c r="K14" s="16"/>
      <c r="L14" s="19"/>
      <c r="M14" s="19"/>
    </row>
    <row r="15" spans="1:16" s="42" customFormat="1" x14ac:dyDescent="0.3">
      <c r="A15" s="17"/>
      <c r="B15" s="20">
        <v>44959</v>
      </c>
      <c r="C15" s="47" t="s">
        <v>64</v>
      </c>
      <c r="D15" s="16" t="s">
        <v>66</v>
      </c>
      <c r="E15" s="18"/>
      <c r="F15" s="34"/>
      <c r="G15" s="34"/>
      <c r="H15" s="34"/>
      <c r="I15" s="17"/>
      <c r="J15" s="16"/>
      <c r="K15" s="16"/>
      <c r="L15" s="19"/>
      <c r="M15" s="19"/>
    </row>
    <row r="16" spans="1:16" x14ac:dyDescent="0.3">
      <c r="B16" s="20">
        <v>44959</v>
      </c>
      <c r="C16" s="47" t="s">
        <v>65</v>
      </c>
      <c r="D16" s="16" t="s">
        <v>66</v>
      </c>
      <c r="F16" s="34"/>
      <c r="G16" s="34"/>
      <c r="H16" s="34"/>
      <c r="L16" s="19"/>
      <c r="M16" s="19"/>
    </row>
    <row r="17" spans="2:13" x14ac:dyDescent="0.3">
      <c r="B17" s="20"/>
      <c r="F17" s="34"/>
      <c r="G17" s="34"/>
      <c r="H17" s="34"/>
      <c r="L17" s="19"/>
      <c r="M17" s="19"/>
    </row>
    <row r="18" spans="2:13" x14ac:dyDescent="0.3">
      <c r="B18" s="20"/>
      <c r="F18" s="34"/>
      <c r="G18" s="34"/>
      <c r="H18" s="34"/>
      <c r="L18" s="19"/>
      <c r="M18" s="19"/>
    </row>
    <row r="19" spans="2:13" x14ac:dyDescent="0.3">
      <c r="B19" s="20"/>
      <c r="F19" s="34"/>
      <c r="G19" s="34"/>
      <c r="H19" s="34"/>
      <c r="L19" s="19"/>
      <c r="M19" s="19"/>
    </row>
    <row r="20" spans="2:13" x14ac:dyDescent="0.3">
      <c r="B20" s="20"/>
      <c r="F20" s="34"/>
      <c r="G20" s="34"/>
      <c r="H20" s="34"/>
      <c r="L20" s="19"/>
      <c r="M20" s="19"/>
    </row>
    <row r="21" spans="2:13" x14ac:dyDescent="0.3">
      <c r="B21" s="20"/>
      <c r="F21" s="34"/>
      <c r="G21" s="34"/>
      <c r="H21" s="34"/>
      <c r="L21" s="19"/>
      <c r="M21" s="19"/>
    </row>
    <row r="22" spans="2:13" x14ac:dyDescent="0.3">
      <c r="B22" s="20"/>
      <c r="F22" s="34"/>
      <c r="G22" s="34"/>
      <c r="H22" s="34"/>
      <c r="L22" s="19"/>
      <c r="M22" s="19"/>
    </row>
    <row r="23" spans="2:13" x14ac:dyDescent="0.3">
      <c r="B23" s="20"/>
      <c r="F23" s="34"/>
      <c r="G23" s="34"/>
      <c r="H23" s="34"/>
      <c r="L23" s="19"/>
      <c r="M23" s="19"/>
    </row>
  </sheetData>
  <mergeCells count="1">
    <mergeCell ref="E1:I1"/>
  </mergeCells>
  <phoneticPr fontId="24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3</vt:i4>
      </vt:variant>
    </vt:vector>
  </HeadingPairs>
  <TitlesOfParts>
    <vt:vector size="7" baseType="lpstr">
      <vt:lpstr>2023년 1분기 용성 전항목(00.00%)</vt:lpstr>
      <vt:lpstr>2023년 1분기 용성 전항목(.00%) (2)</vt:lpstr>
      <vt:lpstr>2023년 1분기 용성 전항목(신뢰구간X)</vt:lpstr>
      <vt:lpstr>DATA</vt:lpstr>
      <vt:lpstr>'2023년 1분기 용성 전항목(.00%) (2)'!Print_Area</vt:lpstr>
      <vt:lpstr>'2023년 1분기 용성 전항목(00.00%)'!Print_Area</vt:lpstr>
      <vt:lpstr>'2023년 1분기 용성 전항목(신뢰구간X)'!Print_Area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TRIMMED SPEARMAN</dc:title>
  <dc:creator>이규훈</dc:creator>
  <cp:lastModifiedBy>com</cp:lastModifiedBy>
  <cp:lastPrinted>2025-06-13T06:37:54Z</cp:lastPrinted>
  <dcterms:created xsi:type="dcterms:W3CDTF">2022-08-05T05:21:37Z</dcterms:created>
  <dcterms:modified xsi:type="dcterms:W3CDTF">2025-06-13T06:44:19Z</dcterms:modified>
</cp:coreProperties>
</file>